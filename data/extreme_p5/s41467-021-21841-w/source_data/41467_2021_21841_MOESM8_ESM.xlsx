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 filterPrivacy="1"/>
  <xr:revisionPtr revIDLastSave="0" documentId="13_ncr:1_{B10343FE-2F96-C944-84A2-109F71B6703B}" xr6:coauthVersionLast="45" xr6:coauthVersionMax="45" xr10:uidLastSave="{00000000-0000-0000-0000-000000000000}"/>
  <bookViews>
    <workbookView xWindow="0" yWindow="460" windowWidth="28800" windowHeight="12640" activeTab="9" xr2:uid="{00000000-000D-0000-FFFF-FFFF00000000}"/>
  </bookViews>
  <sheets>
    <sheet name="FIg.1" sheetId="1" r:id="rId1"/>
    <sheet name="Fig.2" sheetId="2" r:id="rId2"/>
    <sheet name="Fig.3" sheetId="3" r:id="rId3"/>
    <sheet name="Fig.4" sheetId="4" r:id="rId4"/>
    <sheet name="Fig. S1" sheetId="5" r:id="rId5"/>
    <sheet name="Fig. S2" sheetId="10" r:id="rId6"/>
    <sheet name="Fig.S3" sheetId="6" r:id="rId7"/>
    <sheet name="Fig.S4" sheetId="7" r:id="rId8"/>
    <sheet name="Fig. S5" sheetId="8" r:id="rId9"/>
    <sheet name="Fig.S6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5" l="1"/>
  <c r="D37" i="5"/>
  <c r="G8" i="5" l="1"/>
  <c r="Q8" i="5" l="1"/>
  <c r="Q10" i="5"/>
  <c r="R13" i="5"/>
  <c r="R15" i="5"/>
  <c r="L41" i="10"/>
  <c r="K41" i="10"/>
  <c r="L40" i="10"/>
  <c r="K40" i="10"/>
  <c r="L39" i="10"/>
  <c r="K39" i="10"/>
  <c r="L38" i="10"/>
  <c r="K38" i="10"/>
  <c r="L37" i="10"/>
  <c r="K37" i="10"/>
  <c r="L36" i="10"/>
  <c r="K36" i="10"/>
  <c r="L35" i="10"/>
  <c r="K35" i="10"/>
  <c r="L34" i="10"/>
  <c r="K34" i="10"/>
  <c r="L29" i="10"/>
  <c r="K29" i="10"/>
  <c r="L28" i="10"/>
  <c r="K28" i="10"/>
  <c r="L27" i="10"/>
  <c r="K27" i="10"/>
  <c r="L26" i="10"/>
  <c r="K26" i="10"/>
  <c r="L25" i="10"/>
  <c r="K25" i="10"/>
  <c r="L24" i="10"/>
  <c r="K24" i="10"/>
  <c r="L23" i="10"/>
  <c r="K23" i="10"/>
  <c r="L22" i="10"/>
  <c r="K22" i="10"/>
  <c r="H17" i="10"/>
  <c r="H16" i="10"/>
  <c r="H15" i="10"/>
  <c r="H14" i="10"/>
  <c r="H13" i="10"/>
  <c r="H12" i="10"/>
  <c r="H11" i="10"/>
  <c r="H10" i="10"/>
  <c r="H59" i="9"/>
  <c r="E59" i="9"/>
  <c r="E51" i="9"/>
  <c r="N44" i="9"/>
  <c r="K44" i="9"/>
  <c r="H44" i="9"/>
  <c r="E44" i="9"/>
  <c r="Q28" i="9"/>
  <c r="Q27" i="9"/>
  <c r="Q26" i="9"/>
  <c r="Q25" i="9"/>
  <c r="Q24" i="9"/>
  <c r="Q23" i="9"/>
  <c r="Q22" i="9"/>
  <c r="H23" i="9"/>
  <c r="H24" i="9"/>
  <c r="H25" i="9"/>
  <c r="H26" i="9"/>
  <c r="H27" i="9"/>
  <c r="H28" i="9"/>
  <c r="H22" i="9"/>
  <c r="H16" i="9"/>
  <c r="H17" i="9"/>
  <c r="H15" i="9"/>
  <c r="G21" i="8"/>
  <c r="D21" i="8"/>
  <c r="J7" i="8"/>
  <c r="C15" i="8"/>
  <c r="B15" i="8"/>
  <c r="N61" i="7"/>
  <c r="N62" i="7"/>
  <c r="N63" i="7"/>
  <c r="N64" i="7"/>
  <c r="N60" i="7"/>
  <c r="O53" i="7"/>
  <c r="O54" i="7"/>
  <c r="O55" i="7"/>
  <c r="O56" i="7"/>
  <c r="N53" i="7"/>
  <c r="N54" i="7"/>
  <c r="N55" i="7"/>
  <c r="N56" i="7"/>
  <c r="O52" i="7"/>
  <c r="N52" i="7"/>
  <c r="D48" i="7"/>
  <c r="O42" i="7"/>
  <c r="N42" i="7"/>
  <c r="G29" i="7"/>
  <c r="D29" i="7"/>
  <c r="I25" i="7"/>
  <c r="E25" i="7"/>
  <c r="G21" i="7"/>
  <c r="D21" i="7"/>
  <c r="C7" i="7"/>
  <c r="B7" i="7"/>
  <c r="Y36" i="6"/>
  <c r="K36" i="6"/>
  <c r="L27" i="6"/>
  <c r="L28" i="6"/>
  <c r="L26" i="6"/>
  <c r="K27" i="6"/>
  <c r="K28" i="6"/>
  <c r="K26" i="6"/>
  <c r="H15" i="6"/>
  <c r="H16" i="6"/>
  <c r="H17" i="6"/>
  <c r="H18" i="6"/>
  <c r="H19" i="6"/>
  <c r="H20" i="6"/>
  <c r="H14" i="6"/>
  <c r="O4" i="6"/>
  <c r="O5" i="6"/>
  <c r="O6" i="6"/>
  <c r="O3" i="6"/>
  <c r="N4" i="6"/>
  <c r="N5" i="6"/>
  <c r="N6" i="6"/>
  <c r="N3" i="6"/>
  <c r="D27" i="5"/>
  <c r="G29" i="5"/>
  <c r="D29" i="5"/>
  <c r="G27" i="5"/>
  <c r="H15" i="5"/>
  <c r="H13" i="5"/>
  <c r="X7" i="5"/>
  <c r="D10" i="5"/>
  <c r="G10" i="5"/>
  <c r="D8" i="5"/>
  <c r="D4" i="5"/>
  <c r="P38" i="1"/>
  <c r="M38" i="1"/>
  <c r="D38" i="1"/>
  <c r="G38" i="1"/>
  <c r="I32" i="1" l="1"/>
  <c r="M32" i="1"/>
  <c r="E32" i="1"/>
  <c r="Y14" i="1"/>
  <c r="R14" i="1"/>
  <c r="K14" i="1"/>
  <c r="D14" i="1"/>
  <c r="X8" i="1"/>
  <c r="U8" i="1"/>
  <c r="R4" i="1"/>
  <c r="O4" i="1"/>
  <c r="L8" i="1"/>
  <c r="D8" i="1"/>
  <c r="D4" i="1"/>
  <c r="G4" i="1"/>
  <c r="R140" i="8" l="1"/>
  <c r="Q140" i="8"/>
  <c r="P140" i="8"/>
  <c r="O140" i="8"/>
  <c r="R128" i="3"/>
  <c r="Q128" i="3"/>
  <c r="P128" i="3"/>
  <c r="O128" i="3"/>
</calcChain>
</file>

<file path=xl/sharedStrings.xml><?xml version="1.0" encoding="utf-8"?>
<sst xmlns="http://schemas.openxmlformats.org/spreadsheetml/2006/main" count="2845" uniqueCount="440">
  <si>
    <t>EV</t>
  </si>
  <si>
    <t>SLC7A11</t>
  </si>
  <si>
    <t>Fig.1k</t>
  </si>
  <si>
    <t>200</t>
  </si>
  <si>
    <t>1</t>
  </si>
  <si>
    <t>0</t>
  </si>
  <si>
    <t>GPX4</t>
  </si>
  <si>
    <t>Con</t>
  </si>
  <si>
    <t>Era</t>
  </si>
  <si>
    <t>Fig.S1n</t>
  </si>
  <si>
    <t>Fig.S1f</t>
  </si>
  <si>
    <t>5</t>
  </si>
  <si>
    <t>Fig.S1j</t>
  </si>
  <si>
    <t>ACHN</t>
  </si>
  <si>
    <t>786-O</t>
  </si>
  <si>
    <t>H23</t>
  </si>
  <si>
    <t>H1299</t>
  </si>
  <si>
    <t>Fig.1i</t>
  </si>
  <si>
    <t>Fig.S1g</t>
  </si>
  <si>
    <t>Fig.1o</t>
  </si>
  <si>
    <t>3'UTR</t>
  </si>
  <si>
    <t>Fig.1n</t>
  </si>
  <si>
    <t>sgCon</t>
  </si>
  <si>
    <t>sgSLC</t>
  </si>
  <si>
    <t>Fig.S1k</t>
  </si>
  <si>
    <t>Control</t>
  </si>
  <si>
    <t>w/o Cystine</t>
  </si>
  <si>
    <t>Erastin</t>
  </si>
  <si>
    <t>Fig.1m</t>
  </si>
  <si>
    <t>sgSLC-1</t>
  </si>
  <si>
    <t>sgSLC-2</t>
  </si>
  <si>
    <t>Fig.1l</t>
  </si>
  <si>
    <t>ML162</t>
  </si>
  <si>
    <t>RSL3</t>
  </si>
  <si>
    <t>Fig.2d</t>
  </si>
  <si>
    <t>\</t>
  </si>
  <si>
    <t>RSL3+
Ferr-1</t>
  </si>
  <si>
    <t>RSL3+
DFO</t>
  </si>
  <si>
    <t>ML162+
Ferr-1</t>
  </si>
  <si>
    <t>ML162+
DFO</t>
  </si>
  <si>
    <t>SLC+shEV</t>
  </si>
  <si>
    <t>SLC+shGPX4-1</t>
  </si>
  <si>
    <t>SLC+shGPX4-2</t>
  </si>
  <si>
    <t>Fig.2i</t>
  </si>
  <si>
    <t>Cystine Low</t>
  </si>
  <si>
    <t>Fig.2g</t>
  </si>
  <si>
    <t>Fig.2a</t>
  </si>
  <si>
    <t>RSL3+
Lipro-1</t>
  </si>
  <si>
    <t>Fig.2c</t>
  </si>
  <si>
    <t>sgCon+EV</t>
  </si>
  <si>
    <t>sgCon+GPX4</t>
  </si>
  <si>
    <t>sgSLC-1+EV</t>
  </si>
  <si>
    <t>sgSLC-1+GPX4</t>
  </si>
  <si>
    <t>Fig.2k</t>
  </si>
  <si>
    <t>sgSLC-2+EV</t>
  </si>
  <si>
    <t>sgSLC-2+GPX4</t>
  </si>
  <si>
    <t>Fig.2l</t>
  </si>
  <si>
    <t>-Cystine</t>
  </si>
  <si>
    <t>Repletion</t>
  </si>
  <si>
    <t>2</t>
  </si>
  <si>
    <t>Torin1</t>
  </si>
  <si>
    <t xml:space="preserve">Control </t>
  </si>
  <si>
    <t>AZD8055</t>
  </si>
  <si>
    <t>Actin</t>
  </si>
  <si>
    <t>Fig.3d</t>
  </si>
  <si>
    <t>Fig.S5d</t>
  </si>
  <si>
    <t>IKE</t>
  </si>
  <si>
    <t>AZD</t>
  </si>
  <si>
    <t>IKE+AZD</t>
  </si>
  <si>
    <t>Fig.4h</t>
  </si>
  <si>
    <t>4EBP1</t>
  </si>
  <si>
    <t>4HNE</t>
  </si>
  <si>
    <t>AZD-8055</t>
  </si>
  <si>
    <t>IKE+AZD-8055</t>
  </si>
  <si>
    <t>Fig.4g</t>
  </si>
  <si>
    <t>DKO-1</t>
  </si>
  <si>
    <t>DKO-2</t>
  </si>
  <si>
    <t>RSL3+Torin1</t>
  </si>
  <si>
    <t>Fig.4c</t>
  </si>
  <si>
    <t>ML162+Torin1</t>
  </si>
  <si>
    <t>Fig.4d</t>
  </si>
  <si>
    <t>Fig.4f</t>
  </si>
  <si>
    <t>Fig.4e</t>
  </si>
  <si>
    <t>RSL3+Ferr-1</t>
  </si>
  <si>
    <t>RSL3+DFO</t>
  </si>
  <si>
    <t>ML162+Ferr-1</t>
  </si>
  <si>
    <t>ML162+DFO</t>
  </si>
  <si>
    <t>Fig.S5e</t>
  </si>
  <si>
    <t>Ferr-1</t>
  </si>
  <si>
    <t>DFO</t>
  </si>
  <si>
    <t>Fig.4b</t>
  </si>
  <si>
    <t>BSO</t>
  </si>
  <si>
    <t>BSO+
Torin1</t>
  </si>
  <si>
    <t>Fig.S5g</t>
  </si>
  <si>
    <t>RSL3+GSHEE</t>
  </si>
  <si>
    <t>ML162+GSHEE</t>
  </si>
  <si>
    <t>100</t>
  </si>
  <si>
    <t>GSHEE</t>
  </si>
  <si>
    <t>shEV</t>
  </si>
  <si>
    <t>shGCLC-1</t>
  </si>
  <si>
    <t>shGCLC-2</t>
  </si>
  <si>
    <t>GCLC</t>
  </si>
  <si>
    <t>GSH</t>
  </si>
  <si>
    <t>Fig.1e</t>
  </si>
  <si>
    <t>Fig.1g</t>
  </si>
  <si>
    <t>Fig.1c</t>
  </si>
  <si>
    <t>con</t>
  </si>
  <si>
    <t>Position</t>
  </si>
  <si>
    <t>No.</t>
  </si>
  <si>
    <t>Age</t>
  </si>
  <si>
    <t>Sex</t>
  </si>
  <si>
    <t>Organ/Anatomic Site</t>
  </si>
  <si>
    <t>Pathology diagnosis</t>
  </si>
  <si>
    <t>TNM</t>
  </si>
  <si>
    <t>Grade</t>
  </si>
  <si>
    <t>Stage</t>
  </si>
  <si>
    <t>Type</t>
  </si>
  <si>
    <t>Tissue ID.</t>
  </si>
  <si>
    <t>P-4EBP1</t>
  </si>
  <si>
    <t>Num</t>
  </si>
  <si>
    <t>GPX4 low 4EBP1 low</t>
  </si>
  <si>
    <t>GPX4low 4EBP1 high</t>
  </si>
  <si>
    <t>GPX4 high 4EBP1 low</t>
  </si>
  <si>
    <t>GPX4 high 4EBP1 high</t>
  </si>
  <si>
    <t>A1</t>
  </si>
  <si>
    <t>M</t>
  </si>
  <si>
    <t>Kidney</t>
  </si>
  <si>
    <t>Clear cell carcinoma</t>
  </si>
  <si>
    <t>T1N0M0</t>
  </si>
  <si>
    <t>I</t>
  </si>
  <si>
    <t>Malignant</t>
  </si>
  <si>
    <t>Ukn010003</t>
  </si>
  <si>
    <t>0-1</t>
  </si>
  <si>
    <t>1-2</t>
  </si>
  <si>
    <t>A2</t>
  </si>
  <si>
    <t>F</t>
  </si>
  <si>
    <t>Ukn010008</t>
  </si>
  <si>
    <t>A3</t>
  </si>
  <si>
    <t>Ukn020051</t>
  </si>
  <si>
    <t>A4</t>
  </si>
  <si>
    <t>T2N0M0</t>
  </si>
  <si>
    <t>II</t>
  </si>
  <si>
    <t>Ukn010026</t>
  </si>
  <si>
    <t>A5</t>
  </si>
  <si>
    <t>Ukn010027</t>
  </si>
  <si>
    <t>A6</t>
  </si>
  <si>
    <t>Ukn020064</t>
  </si>
  <si>
    <t>3-4</t>
  </si>
  <si>
    <t>A7</t>
  </si>
  <si>
    <t>Ukn150014</t>
  </si>
  <si>
    <t>A8</t>
  </si>
  <si>
    <t>Ukn010040</t>
  </si>
  <si>
    <t>A9</t>
  </si>
  <si>
    <t>Ukn010043</t>
  </si>
  <si>
    <t>A10</t>
  </si>
  <si>
    <t>Ukn010045</t>
  </si>
  <si>
    <t>A11</t>
  </si>
  <si>
    <t>Ukn120017</t>
  </si>
  <si>
    <t>A12</t>
  </si>
  <si>
    <t>Ukn010049</t>
  </si>
  <si>
    <t>B1</t>
  </si>
  <si>
    <t>Ukn010052</t>
  </si>
  <si>
    <t>B2</t>
  </si>
  <si>
    <t>Ukn020069</t>
  </si>
  <si>
    <t>B3</t>
  </si>
  <si>
    <t>Ukn020020</t>
  </si>
  <si>
    <t>B4</t>
  </si>
  <si>
    <t>Ukn010062</t>
  </si>
  <si>
    <t>x</t>
  </si>
  <si>
    <t>B5</t>
  </si>
  <si>
    <t>Ukn020021</t>
  </si>
  <si>
    <t>B6</t>
  </si>
  <si>
    <t>Ukn010067</t>
  </si>
  <si>
    <t>B7</t>
  </si>
  <si>
    <t>Ukn010079</t>
  </si>
  <si>
    <t>2-3</t>
  </si>
  <si>
    <t>B8</t>
  </si>
  <si>
    <t>Ukn010091</t>
  </si>
  <si>
    <t>B9</t>
  </si>
  <si>
    <t>Ukn140066</t>
  </si>
  <si>
    <t>B10</t>
  </si>
  <si>
    <t>Ukn080016</t>
  </si>
  <si>
    <t>B11</t>
  </si>
  <si>
    <t>Ukn020041</t>
  </si>
  <si>
    <t>B12</t>
  </si>
  <si>
    <t>Ukn020043</t>
  </si>
  <si>
    <t>C1</t>
  </si>
  <si>
    <t>Ukn020024</t>
  </si>
  <si>
    <t>C2</t>
  </si>
  <si>
    <t>Ukn010133</t>
  </si>
  <si>
    <t>C3</t>
  </si>
  <si>
    <t>Ukn010106</t>
  </si>
  <si>
    <t>C4</t>
  </si>
  <si>
    <t>Ukn010107</t>
  </si>
  <si>
    <t>C5</t>
  </si>
  <si>
    <t>Ukn010116</t>
  </si>
  <si>
    <t>C6</t>
  </si>
  <si>
    <t xml:space="preserve">Clear cell carcinoma </t>
  </si>
  <si>
    <t>*</t>
  </si>
  <si>
    <t>Ukn010147</t>
  </si>
  <si>
    <t>C7</t>
  </si>
  <si>
    <t>Ukn010132</t>
  </si>
  <si>
    <t>C8</t>
  </si>
  <si>
    <t>Ukn010125</t>
  </si>
  <si>
    <t>C9</t>
  </si>
  <si>
    <t>Ukn010105</t>
  </si>
  <si>
    <t>C10</t>
  </si>
  <si>
    <t>Ukn020505</t>
  </si>
  <si>
    <t>C11</t>
  </si>
  <si>
    <t>Ukn010013</t>
  </si>
  <si>
    <t>C12</t>
  </si>
  <si>
    <t>Ukn010068</t>
  </si>
  <si>
    <t>D1</t>
  </si>
  <si>
    <t>Ukn010063</t>
  </si>
  <si>
    <t>D2</t>
  </si>
  <si>
    <t>Ukn020037</t>
  </si>
  <si>
    <t>D3</t>
  </si>
  <si>
    <t>T3N0M0</t>
  </si>
  <si>
    <t>III</t>
  </si>
  <si>
    <t>Ukn010103</t>
  </si>
  <si>
    <t>D4</t>
  </si>
  <si>
    <t>Ukn140063</t>
  </si>
  <si>
    <t>D5</t>
  </si>
  <si>
    <t>Ukn020049</t>
  </si>
  <si>
    <t>D6</t>
  </si>
  <si>
    <t>Ukn140065</t>
  </si>
  <si>
    <t>D7</t>
  </si>
  <si>
    <t>1--2</t>
  </si>
  <si>
    <t>Ukn010096</t>
  </si>
  <si>
    <t>D8</t>
  </si>
  <si>
    <t>Ukn010037</t>
  </si>
  <si>
    <t>D9</t>
  </si>
  <si>
    <t>Ukn010066</t>
  </si>
  <si>
    <t>D10</t>
  </si>
  <si>
    <t>Ukn020029</t>
  </si>
  <si>
    <t>D11</t>
  </si>
  <si>
    <t>Ukn010095</t>
  </si>
  <si>
    <t>D12</t>
  </si>
  <si>
    <t>Ukn020062</t>
  </si>
  <si>
    <t>E1</t>
  </si>
  <si>
    <t>Ukn010031</t>
  </si>
  <si>
    <t>E2</t>
  </si>
  <si>
    <t>Ukn020044</t>
  </si>
  <si>
    <t>E3</t>
  </si>
  <si>
    <t>Ukn010102</t>
  </si>
  <si>
    <t>E4</t>
  </si>
  <si>
    <t>Ukn010101</t>
  </si>
  <si>
    <t>E5</t>
  </si>
  <si>
    <t>Ukn010100</t>
  </si>
  <si>
    <t>E6</t>
  </si>
  <si>
    <t>Ukn120019</t>
  </si>
  <si>
    <t>E7</t>
  </si>
  <si>
    <t>Ukn010149</t>
  </si>
  <si>
    <t>E8</t>
  </si>
  <si>
    <t>T4N0M0</t>
  </si>
  <si>
    <t>IV</t>
  </si>
  <si>
    <t>Ukn010094</t>
  </si>
  <si>
    <t>E9</t>
  </si>
  <si>
    <t>Ukn010093</t>
  </si>
  <si>
    <t>E10</t>
  </si>
  <si>
    <t>Ukn010136</t>
  </si>
  <si>
    <t>E11</t>
  </si>
  <si>
    <t>Clear cell carcinoma with necrosis</t>
  </si>
  <si>
    <t>Ukn020009</t>
  </si>
  <si>
    <t>E12</t>
  </si>
  <si>
    <t>Ukn010010</t>
  </si>
  <si>
    <t>F1</t>
  </si>
  <si>
    <t>Ukn020017</t>
  </si>
  <si>
    <t>F2</t>
  </si>
  <si>
    <t>Ukn090008</t>
  </si>
  <si>
    <t>F3</t>
  </si>
  <si>
    <t>Ukn010048</t>
  </si>
  <si>
    <t>F4</t>
  </si>
  <si>
    <t>Ukn010058</t>
  </si>
  <si>
    <t>F5</t>
  </si>
  <si>
    <t>Ukn010113</t>
  </si>
  <si>
    <t>F6</t>
  </si>
  <si>
    <t>Ukn010061</t>
  </si>
  <si>
    <t>F7</t>
  </si>
  <si>
    <t>Ukn020016</t>
  </si>
  <si>
    <t>F8</t>
  </si>
  <si>
    <t>Ukn020014</t>
  </si>
  <si>
    <t>F9</t>
  </si>
  <si>
    <t>Ukn020055</t>
  </si>
  <si>
    <t>F10</t>
  </si>
  <si>
    <t>Ukn010142</t>
  </si>
  <si>
    <t>F11</t>
  </si>
  <si>
    <t>Ukn010144</t>
  </si>
  <si>
    <t>F12</t>
  </si>
  <si>
    <t>Ukn150012</t>
  </si>
  <si>
    <t>G1</t>
  </si>
  <si>
    <t>2--3</t>
  </si>
  <si>
    <t>Ukn010060</t>
  </si>
  <si>
    <t>G2</t>
  </si>
  <si>
    <t>Ukn020006</t>
  </si>
  <si>
    <t>G3</t>
  </si>
  <si>
    <t>Ukn020054</t>
  </si>
  <si>
    <t>G4</t>
  </si>
  <si>
    <t>Ukn150008</t>
  </si>
  <si>
    <t>G5</t>
  </si>
  <si>
    <t>Ukn020164</t>
  </si>
  <si>
    <t>G6</t>
  </si>
  <si>
    <t>Ukn020004</t>
  </si>
  <si>
    <t>G7</t>
  </si>
  <si>
    <t>Ukn020048</t>
  </si>
  <si>
    <t>G8</t>
  </si>
  <si>
    <t>Papillary renal cell carcinoma</t>
  </si>
  <si>
    <t>-</t>
  </si>
  <si>
    <t>Ukn020061</t>
  </si>
  <si>
    <t>G9</t>
  </si>
  <si>
    <t>Ukn020334</t>
  </si>
  <si>
    <t>G10</t>
  </si>
  <si>
    <t>Ukn010134</t>
  </si>
  <si>
    <t>G11</t>
  </si>
  <si>
    <t>Chromophobe carcinoma</t>
  </si>
  <si>
    <t>Ukn010118</t>
  </si>
  <si>
    <t>G12</t>
  </si>
  <si>
    <t>Ukn140032</t>
  </si>
  <si>
    <t>H1</t>
  </si>
  <si>
    <t>Carcinoma sarcomatodes (sparse)</t>
  </si>
  <si>
    <t>Ukn020113</t>
  </si>
  <si>
    <t>H2</t>
  </si>
  <si>
    <t>Carcinoma sarcomatodes of renal pelvis</t>
  </si>
  <si>
    <t>Ukn020126</t>
  </si>
  <si>
    <t>H3</t>
  </si>
  <si>
    <t>Carcinoma sarcomatodes</t>
  </si>
  <si>
    <t>Ukn020214</t>
  </si>
  <si>
    <t>H4</t>
  </si>
  <si>
    <t>Ukn020274</t>
  </si>
  <si>
    <t>H5</t>
  </si>
  <si>
    <t>Ukn010143</t>
  </si>
  <si>
    <t>H6</t>
  </si>
  <si>
    <t>Ukn020093</t>
  </si>
  <si>
    <t>H7</t>
  </si>
  <si>
    <t>Invasive urothelial carcinoma of renal pelvis</t>
  </si>
  <si>
    <t>Ukn020111</t>
  </si>
  <si>
    <t>H8</t>
  </si>
  <si>
    <t>Ukn020025</t>
  </si>
  <si>
    <t>H9</t>
  </si>
  <si>
    <t>Ukn020002</t>
  </si>
  <si>
    <t>H10</t>
  </si>
  <si>
    <t>Ukn020042</t>
  </si>
  <si>
    <t>H11</t>
  </si>
  <si>
    <t>Ukn010141</t>
  </si>
  <si>
    <t>H12</t>
  </si>
  <si>
    <t>Ukn020154</t>
  </si>
  <si>
    <t>I1</t>
  </si>
  <si>
    <t>Ukn020152</t>
  </si>
  <si>
    <t>I2</t>
  </si>
  <si>
    <t>Invasive urothelial carcinoma with necrosis of renal pelvis (sparse)</t>
  </si>
  <si>
    <t>Ukn020156</t>
  </si>
  <si>
    <t>I3</t>
  </si>
  <si>
    <t>Ukn010056</t>
  </si>
  <si>
    <t>I4</t>
  </si>
  <si>
    <t>Ukn020158</t>
  </si>
  <si>
    <t>I5</t>
  </si>
  <si>
    <t>Ukn010138</t>
  </si>
  <si>
    <t>I6</t>
  </si>
  <si>
    <t>Ukn020174</t>
  </si>
  <si>
    <t>I7</t>
  </si>
  <si>
    <t>Ukn020053</t>
  </si>
  <si>
    <t>I8</t>
  </si>
  <si>
    <t>Ukn020066</t>
  </si>
  <si>
    <t>I9</t>
  </si>
  <si>
    <t>Ukn020160</t>
  </si>
  <si>
    <t>I10</t>
  </si>
  <si>
    <t>Ukn010028</t>
  </si>
  <si>
    <t>I11</t>
  </si>
  <si>
    <t>Ukn010055</t>
  </si>
  <si>
    <t>I12</t>
  </si>
  <si>
    <t>Ukn010150</t>
  </si>
  <si>
    <t>J1</t>
  </si>
  <si>
    <t xml:space="preserve">Invasive urothelial carcinoma of renal pelvis </t>
  </si>
  <si>
    <t>Ukn130016</t>
  </si>
  <si>
    <t>J2</t>
  </si>
  <si>
    <t>Ukn100024</t>
  </si>
  <si>
    <t>count</t>
  </si>
  <si>
    <t>0-2</t>
  </si>
  <si>
    <t>Low</t>
  </si>
  <si>
    <t>2-4</t>
  </si>
  <si>
    <t>High</t>
  </si>
  <si>
    <t>Fig.3m</t>
  </si>
  <si>
    <t>ACSL4</t>
  </si>
  <si>
    <t>4EBP low ACSL4 low</t>
  </si>
  <si>
    <t>4EBP high ACLS4 high</t>
  </si>
  <si>
    <t>4EBP high ACSL4 low</t>
  </si>
  <si>
    <t>4EBP low ACSL4 high</t>
  </si>
  <si>
    <t>Total</t>
  </si>
  <si>
    <t>Fig.S1d</t>
  </si>
  <si>
    <t>Fig.S1l</t>
  </si>
  <si>
    <t>Fig.S1h</t>
  </si>
  <si>
    <t>P-value</t>
  </si>
  <si>
    <t>C vs sg1</t>
  </si>
  <si>
    <t>C vs sg2</t>
  </si>
  <si>
    <t>c vs w/o cys</t>
  </si>
  <si>
    <t>C vs Era</t>
  </si>
  <si>
    <t>c vs sg1</t>
  </si>
  <si>
    <t>&gt;0.999999</t>
  </si>
  <si>
    <t>&lt;0.000001</t>
  </si>
  <si>
    <t>c vs sg2</t>
  </si>
  <si>
    <t>sg+EV vs sg+GPX4</t>
  </si>
  <si>
    <t>P-vale</t>
  </si>
  <si>
    <t>Con vs Torin1</t>
  </si>
  <si>
    <t>Con vs AZD</t>
  </si>
  <si>
    <t>C vs DKO1</t>
  </si>
  <si>
    <t>C vs DKO2</t>
  </si>
  <si>
    <t>c vs Era</t>
  </si>
  <si>
    <t>p-value</t>
  </si>
  <si>
    <t>Fig.S2h</t>
  </si>
  <si>
    <t>Fig.S2g</t>
  </si>
  <si>
    <t>Fig.S3b</t>
  </si>
  <si>
    <t>Fig.S3d</t>
  </si>
  <si>
    <t>Fig.S3e</t>
  </si>
  <si>
    <t>Fig.S3f</t>
  </si>
  <si>
    <t>Fig.S3i</t>
  </si>
  <si>
    <t>Fig.S3j</t>
  </si>
  <si>
    <t>FigS4b</t>
  </si>
  <si>
    <t>FigS4d</t>
  </si>
  <si>
    <t>Fig. S4e</t>
  </si>
  <si>
    <t>Fig. S4f</t>
  </si>
  <si>
    <t>Fig. S4g</t>
  </si>
  <si>
    <t>Fig. S4i</t>
  </si>
  <si>
    <t>Fig. S4j</t>
  </si>
  <si>
    <t>Fig. S4k</t>
  </si>
  <si>
    <t>Fig. S4l</t>
  </si>
  <si>
    <t>Fig. S4n</t>
  </si>
  <si>
    <t>Fig. S4o</t>
  </si>
  <si>
    <t>Fig.S5l</t>
  </si>
  <si>
    <t>Fig.S6b</t>
  </si>
  <si>
    <t>Fig.S6c</t>
  </si>
  <si>
    <t>Fig.S6d</t>
  </si>
  <si>
    <t>Fig.S6e</t>
  </si>
  <si>
    <t>Fig.S6f</t>
  </si>
  <si>
    <t>Fig.S6g</t>
  </si>
  <si>
    <t>Fig.S6h</t>
  </si>
  <si>
    <t>Fig.S6i</t>
  </si>
  <si>
    <t>Fig.S6j</t>
  </si>
  <si>
    <t>Fig.S6k</t>
  </si>
  <si>
    <t>Fig.S1o</t>
  </si>
  <si>
    <t>Fig.S2f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</si>
</sst>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49" fontId="7" fillId="3" borderId="4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9" fillId="0" borderId="4" xfId="0" applyNumberFormat="1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49" fontId="9" fillId="5" borderId="4" xfId="0" applyNumberFormat="1" applyFont="1" applyFill="1" applyBorder="1" applyAlignment="1">
      <alignment horizontal="left" vertical="center"/>
    </xf>
    <xf numFmtId="49" fontId="10" fillId="0" borderId="4" xfId="0" applyNumberFormat="1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49" fontId="11" fillId="3" borderId="4" xfId="0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49" fontId="13" fillId="5" borderId="4" xfId="0" applyNumberFormat="1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14" fillId="0" borderId="4" xfId="0" applyNumberFormat="1" applyFont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49" fontId="9" fillId="6" borderId="4" xfId="0" applyNumberFormat="1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opLeftCell="A24" zoomScale="108" zoomScaleNormal="85" workbookViewId="0">
      <selection activeCell="P38" sqref="P38"/>
    </sheetView>
  </sheetViews>
  <sheetFormatPr baseColWidth="10" defaultColWidth="8.83203125" defaultRowHeight="15" x14ac:dyDescent="0.2"/>
  <cols>
    <col min="12" max="12" width="11.83203125" bestFit="1" customWidth="1"/>
  </cols>
  <sheetData>
    <row r="1" spans="1:28" x14ac:dyDescent="0.2">
      <c r="A1" s="3" t="s">
        <v>105</v>
      </c>
      <c r="B1" s="61" t="s">
        <v>6</v>
      </c>
      <c r="C1" s="61"/>
      <c r="D1" s="61"/>
      <c r="E1" s="61"/>
      <c r="F1" s="61"/>
      <c r="G1" s="61"/>
      <c r="H1" s="61"/>
      <c r="I1" s="61"/>
      <c r="J1" s="4"/>
      <c r="K1" s="4"/>
      <c r="L1" s="61" t="s">
        <v>1</v>
      </c>
      <c r="M1" s="61"/>
      <c r="N1" s="61"/>
      <c r="O1" s="61"/>
      <c r="P1" s="61"/>
      <c r="Q1" s="61"/>
      <c r="R1" s="61"/>
      <c r="S1" s="61"/>
      <c r="T1" s="61"/>
    </row>
    <row r="2" spans="1:28" x14ac:dyDescent="0.2">
      <c r="A2" s="53" t="s">
        <v>3</v>
      </c>
      <c r="B2" s="53"/>
      <c r="C2" s="53"/>
      <c r="D2" s="53" t="s">
        <v>4</v>
      </c>
      <c r="E2" s="53"/>
      <c r="F2" s="53"/>
      <c r="G2" s="53" t="s">
        <v>5</v>
      </c>
      <c r="H2" s="53"/>
      <c r="I2" s="53"/>
      <c r="J2" s="4"/>
      <c r="K2" s="4"/>
      <c r="L2" s="53" t="s">
        <v>3</v>
      </c>
      <c r="M2" s="53"/>
      <c r="N2" s="53"/>
      <c r="O2" s="53" t="s">
        <v>4</v>
      </c>
      <c r="P2" s="53"/>
      <c r="Q2" s="53"/>
      <c r="R2" s="53" t="s">
        <v>5</v>
      </c>
      <c r="S2" s="53"/>
      <c r="T2" s="53"/>
    </row>
    <row r="3" spans="1:28" x14ac:dyDescent="0.2">
      <c r="A3" s="5">
        <v>1.0942940000000001</v>
      </c>
      <c r="B3" s="5">
        <v>0.90751899999999996</v>
      </c>
      <c r="C3" s="5">
        <v>1.006956</v>
      </c>
      <c r="D3" s="5">
        <v>1.5727979999999999</v>
      </c>
      <c r="E3" s="5">
        <v>1.733074</v>
      </c>
      <c r="F3" s="5">
        <v>1.709214</v>
      </c>
      <c r="G3" s="5">
        <v>1.52979</v>
      </c>
      <c r="H3" s="5">
        <v>1.628263</v>
      </c>
      <c r="I3" s="5">
        <v>1.697408</v>
      </c>
      <c r="J3" s="4"/>
      <c r="K3" s="4"/>
      <c r="L3" s="5">
        <v>1.076738</v>
      </c>
      <c r="M3" s="5">
        <v>0.95043900000000003</v>
      </c>
      <c r="N3" s="5">
        <v>0.97716000000000003</v>
      </c>
      <c r="O3" s="5">
        <v>5.0280529999999999</v>
      </c>
      <c r="P3" s="5">
        <v>6.1050370000000003</v>
      </c>
      <c r="Q3" s="5">
        <v>5.9793969999999996</v>
      </c>
      <c r="R3" s="5">
        <v>8.3204790000000006</v>
      </c>
      <c r="S3" s="5">
        <v>10.17295</v>
      </c>
      <c r="T3" s="5">
        <v>9.4261370000000007</v>
      </c>
    </row>
    <row r="4" spans="1:28" x14ac:dyDescent="0.2">
      <c r="D4">
        <f>_xlfn.T.TEST(A3:C3,D3:F3,2,2)</f>
        <v>8.0953100641701086E-4</v>
      </c>
      <c r="G4">
        <f>_xlfn.T.TEST(A3:C3,G3:I3,2,2)</f>
        <v>1.0627905647434207E-3</v>
      </c>
      <c r="J4" t="s">
        <v>391</v>
      </c>
      <c r="O4">
        <f>_xlfn.T.TEST(L3:N3,O3:Q3,2,2)</f>
        <v>1.6236675078953766E-4</v>
      </c>
      <c r="R4">
        <f>_xlfn.T.TEST(L3:N3,R3:T3,2,2)</f>
        <v>1.0387645023196158E-4</v>
      </c>
      <c r="U4" t="s">
        <v>391</v>
      </c>
    </row>
    <row r="5" spans="1:28" x14ac:dyDescent="0.2">
      <c r="A5" s="3" t="s">
        <v>103</v>
      </c>
      <c r="B5" s="61" t="s">
        <v>6</v>
      </c>
      <c r="C5" s="61"/>
      <c r="D5" s="61"/>
      <c r="E5" s="61"/>
      <c r="F5" s="61"/>
      <c r="G5" s="4"/>
      <c r="H5" s="4"/>
      <c r="I5" s="61" t="s">
        <v>1</v>
      </c>
      <c r="J5" s="61"/>
      <c r="K5" s="61"/>
      <c r="L5" s="61"/>
      <c r="M5" s="61"/>
      <c r="N5" s="61"/>
      <c r="R5" s="3" t="s">
        <v>104</v>
      </c>
      <c r="S5" s="4"/>
      <c r="T5" s="4"/>
      <c r="U5" s="4"/>
      <c r="V5" s="4"/>
      <c r="W5" s="4"/>
      <c r="X5" s="4"/>
      <c r="Y5" s="4"/>
      <c r="Z5" s="4"/>
    </row>
    <row r="6" spans="1:28" x14ac:dyDescent="0.2">
      <c r="A6" s="60" t="s">
        <v>7</v>
      </c>
      <c r="B6" s="60"/>
      <c r="C6" s="60"/>
      <c r="D6" s="53" t="s">
        <v>8</v>
      </c>
      <c r="E6" s="53"/>
      <c r="F6" s="53"/>
      <c r="G6" s="4"/>
      <c r="H6" s="4"/>
      <c r="I6" s="53" t="s">
        <v>7</v>
      </c>
      <c r="J6" s="53"/>
      <c r="K6" s="53"/>
      <c r="L6" s="53" t="s">
        <v>8</v>
      </c>
      <c r="M6" s="53"/>
      <c r="N6" s="53"/>
      <c r="R6" s="53" t="s">
        <v>22</v>
      </c>
      <c r="S6" s="53"/>
      <c r="T6" s="53"/>
      <c r="U6" s="53" t="s">
        <v>29</v>
      </c>
      <c r="V6" s="53"/>
      <c r="W6" s="53"/>
      <c r="X6" s="53" t="s">
        <v>30</v>
      </c>
      <c r="Y6" s="53"/>
      <c r="Z6" s="53"/>
    </row>
    <row r="7" spans="1:28" x14ac:dyDescent="0.2">
      <c r="A7" s="5">
        <v>1.04006</v>
      </c>
      <c r="B7" s="5">
        <v>0.97040999999999999</v>
      </c>
      <c r="C7" s="5">
        <v>0.99080100000000004</v>
      </c>
      <c r="D7" s="5">
        <v>0.95263799999999998</v>
      </c>
      <c r="E7" s="5">
        <v>1.049717</v>
      </c>
      <c r="F7" s="5">
        <v>1.0717730000000001</v>
      </c>
      <c r="G7" s="4"/>
      <c r="H7" s="4"/>
      <c r="I7" s="5">
        <v>1.0692999999999999</v>
      </c>
      <c r="J7" s="5">
        <v>0.90542500000000004</v>
      </c>
      <c r="K7" s="5">
        <v>1.0328759999999999</v>
      </c>
      <c r="L7" s="5">
        <v>4.5002339999999998</v>
      </c>
      <c r="M7" s="5">
        <v>4.4691489999999998</v>
      </c>
      <c r="N7" s="5">
        <v>5.1337039999999998</v>
      </c>
      <c r="R7" s="5">
        <v>0.99769200000000002</v>
      </c>
      <c r="S7" s="5">
        <v>1.0328759999999999</v>
      </c>
      <c r="T7" s="5">
        <v>0.97040999999999999</v>
      </c>
      <c r="U7" s="5">
        <v>0.99309199999999997</v>
      </c>
      <c r="V7" s="5">
        <v>1.028114</v>
      </c>
      <c r="W7" s="5">
        <v>1.0139590000000001</v>
      </c>
      <c r="X7" s="5">
        <v>0.91383099999999995</v>
      </c>
      <c r="Y7" s="5">
        <v>1.006956</v>
      </c>
      <c r="Z7" s="5">
        <v>0.97265500000000005</v>
      </c>
    </row>
    <row r="8" spans="1:28" x14ac:dyDescent="0.2">
      <c r="D8">
        <f>_xlfn.T.TEST(A7:C7,D7:F7,2,2)</f>
        <v>0.5943550214673945</v>
      </c>
      <c r="G8" t="s">
        <v>391</v>
      </c>
      <c r="L8">
        <f>_xlfn.T.TEST(I7:K7,L7:N7,2,2)</f>
        <v>7.6253596176107657E-5</v>
      </c>
      <c r="O8" t="s">
        <v>391</v>
      </c>
      <c r="U8">
        <f>_xlfn.T.TEST(R7:T7,U7:W7,2,2)</f>
        <v>0.61201473171179388</v>
      </c>
      <c r="X8">
        <f>_xlfn.T.TEST(R7:T7,X7:Z7,2,2)</f>
        <v>0.33396557892051132</v>
      </c>
    </row>
    <row r="10" spans="1:28" x14ac:dyDescent="0.2">
      <c r="A10" s="3" t="s">
        <v>17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8" x14ac:dyDescent="0.2">
      <c r="A11" s="55" t="s">
        <v>14</v>
      </c>
      <c r="B11" s="56"/>
      <c r="C11" s="56"/>
      <c r="D11" s="56"/>
      <c r="E11" s="56"/>
      <c r="F11" s="57"/>
      <c r="G11" s="4"/>
      <c r="H11" s="55" t="s">
        <v>13</v>
      </c>
      <c r="I11" s="56"/>
      <c r="J11" s="56"/>
      <c r="K11" s="56"/>
      <c r="L11" s="56"/>
      <c r="M11" s="57"/>
      <c r="N11" s="4"/>
      <c r="O11" s="55" t="s">
        <v>15</v>
      </c>
      <c r="P11" s="56"/>
      <c r="Q11" s="56"/>
      <c r="R11" s="56"/>
      <c r="S11" s="56"/>
      <c r="T11" s="57"/>
      <c r="U11" s="4"/>
      <c r="V11" s="55" t="s">
        <v>16</v>
      </c>
      <c r="W11" s="56"/>
      <c r="X11" s="56"/>
      <c r="Y11" s="56"/>
      <c r="Z11" s="56"/>
      <c r="AA11" s="57"/>
    </row>
    <row r="12" spans="1:28" x14ac:dyDescent="0.2">
      <c r="A12" s="54" t="s">
        <v>0</v>
      </c>
      <c r="B12" s="54"/>
      <c r="C12" s="54"/>
      <c r="D12" s="54" t="s">
        <v>1</v>
      </c>
      <c r="E12" s="54"/>
      <c r="F12" s="54"/>
      <c r="G12" s="4"/>
      <c r="H12" s="54" t="s">
        <v>0</v>
      </c>
      <c r="I12" s="54"/>
      <c r="J12" s="54"/>
      <c r="K12" s="54" t="s">
        <v>1</v>
      </c>
      <c r="L12" s="54"/>
      <c r="M12" s="54"/>
      <c r="N12" s="4"/>
      <c r="O12" s="54" t="s">
        <v>0</v>
      </c>
      <c r="P12" s="54"/>
      <c r="Q12" s="54"/>
      <c r="R12" s="54" t="s">
        <v>1</v>
      </c>
      <c r="S12" s="54"/>
      <c r="T12" s="54"/>
      <c r="U12" s="4"/>
      <c r="V12" s="54" t="s">
        <v>0</v>
      </c>
      <c r="W12" s="54"/>
      <c r="X12" s="54"/>
      <c r="Y12" s="54" t="s">
        <v>1</v>
      </c>
      <c r="Z12" s="54"/>
      <c r="AA12" s="54"/>
    </row>
    <row r="13" spans="1:28" x14ac:dyDescent="0.2">
      <c r="A13" s="7">
        <v>1.197479</v>
      </c>
      <c r="B13" s="7">
        <v>1.0139590000000001</v>
      </c>
      <c r="C13" s="7">
        <v>0.82359099999999996</v>
      </c>
      <c r="D13" s="7">
        <v>1.32256</v>
      </c>
      <c r="E13" s="7">
        <v>1.32256</v>
      </c>
      <c r="F13" s="7">
        <v>0.89709499999999998</v>
      </c>
      <c r="G13" s="4"/>
      <c r="H13" s="7">
        <v>0.97941999999999996</v>
      </c>
      <c r="I13" s="7">
        <v>1.006956</v>
      </c>
      <c r="J13" s="7">
        <v>1.0139590000000001</v>
      </c>
      <c r="K13" s="7">
        <v>1.0448770000000001</v>
      </c>
      <c r="L13" s="7">
        <v>0.92231600000000002</v>
      </c>
      <c r="M13" s="7">
        <v>0.98168599999999995</v>
      </c>
      <c r="N13" s="4"/>
      <c r="O13" s="7">
        <v>1.1147089999999999</v>
      </c>
      <c r="P13" s="7">
        <v>0.96370699999999998</v>
      </c>
      <c r="Q13" s="7">
        <v>0.93088000000000004</v>
      </c>
      <c r="R13" s="7">
        <v>0.81225199999999997</v>
      </c>
      <c r="S13" s="7">
        <v>0.94605799999999995</v>
      </c>
      <c r="T13" s="7">
        <v>0.864537</v>
      </c>
      <c r="U13" s="4"/>
      <c r="V13" s="7">
        <v>1.0352650000000001</v>
      </c>
      <c r="W13" s="7">
        <v>0.97265500000000005</v>
      </c>
      <c r="X13" s="7">
        <v>0.99309199999999997</v>
      </c>
      <c r="Y13" s="7">
        <v>0.95484199999999997</v>
      </c>
      <c r="Z13" s="7">
        <v>0.96148299999999998</v>
      </c>
      <c r="AA13" s="7">
        <v>1.066832</v>
      </c>
    </row>
    <row r="14" spans="1:28" x14ac:dyDescent="0.2">
      <c r="D14">
        <f>_xlfn.T.TEST(A13:C13,D13:F13,2,2)</f>
        <v>0.3965439966416564</v>
      </c>
      <c r="G14" t="s">
        <v>391</v>
      </c>
      <c r="K14">
        <f>_xlfn.T.TEST(H13:J13,K13:M13,2,2)</f>
        <v>0.66642204479035372</v>
      </c>
      <c r="N14" t="s">
        <v>391</v>
      </c>
      <c r="R14">
        <f>_xlfn.T.TEST(O13:Q13,R13:T13,2,2)</f>
        <v>0.13404738712141212</v>
      </c>
      <c r="U14" t="s">
        <v>391</v>
      </c>
      <c r="Y14">
        <f>_xlfn.T.TEST(S13:U13,Y13:AA13,2,2)</f>
        <v>0.20877187414928466</v>
      </c>
      <c r="AB14" t="s">
        <v>391</v>
      </c>
    </row>
    <row r="17" spans="1:33" x14ac:dyDescent="0.2">
      <c r="A17" s="3" t="s">
        <v>2</v>
      </c>
      <c r="B17" s="4"/>
      <c r="C17" s="4"/>
      <c r="D17" s="4"/>
      <c r="E17" s="4"/>
      <c r="F17" s="4"/>
      <c r="G17" s="4"/>
      <c r="J17" s="3" t="s">
        <v>31</v>
      </c>
      <c r="K17" s="4"/>
      <c r="L17" s="4"/>
      <c r="M17" s="4"/>
      <c r="N17" s="4"/>
      <c r="O17" s="4"/>
      <c r="P17" s="4"/>
      <c r="Q17" s="4"/>
      <c r="R17" s="4"/>
      <c r="S17" s="4"/>
      <c r="T17" t="s">
        <v>392</v>
      </c>
      <c r="U17" t="s">
        <v>393</v>
      </c>
      <c r="V17" s="3" t="s">
        <v>28</v>
      </c>
      <c r="W17" s="4"/>
      <c r="X17" s="4"/>
      <c r="Y17" s="4"/>
      <c r="Z17" s="4"/>
      <c r="AA17" s="4"/>
      <c r="AB17" s="4"/>
      <c r="AC17" s="4"/>
      <c r="AD17" s="4"/>
      <c r="AE17" s="4"/>
      <c r="AF17" t="s">
        <v>394</v>
      </c>
      <c r="AG17" t="s">
        <v>395</v>
      </c>
    </row>
    <row r="18" spans="1:33" x14ac:dyDescent="0.2">
      <c r="A18" s="4"/>
      <c r="B18" s="53" t="s">
        <v>0</v>
      </c>
      <c r="C18" s="53"/>
      <c r="D18" s="53"/>
      <c r="E18" s="53" t="s">
        <v>1</v>
      </c>
      <c r="F18" s="53"/>
      <c r="G18" s="53"/>
      <c r="H18" t="s">
        <v>391</v>
      </c>
      <c r="J18" s="4"/>
      <c r="K18" s="54" t="s">
        <v>22</v>
      </c>
      <c r="L18" s="54"/>
      <c r="M18" s="54"/>
      <c r="N18" s="54" t="s">
        <v>29</v>
      </c>
      <c r="O18" s="54"/>
      <c r="P18" s="54"/>
      <c r="Q18" s="54" t="s">
        <v>30</v>
      </c>
      <c r="R18" s="54"/>
      <c r="S18" s="54"/>
      <c r="T18" t="s">
        <v>391</v>
      </c>
      <c r="U18" t="s">
        <v>391</v>
      </c>
      <c r="V18" s="4"/>
      <c r="W18" s="54" t="s">
        <v>25</v>
      </c>
      <c r="X18" s="54"/>
      <c r="Y18" s="54"/>
      <c r="Z18" s="54" t="s">
        <v>26</v>
      </c>
      <c r="AA18" s="54"/>
      <c r="AB18" s="54"/>
      <c r="AC18" s="54" t="s">
        <v>27</v>
      </c>
      <c r="AD18" s="54"/>
      <c r="AE18" s="54"/>
      <c r="AF18" t="s">
        <v>391</v>
      </c>
      <c r="AG18" t="s">
        <v>391</v>
      </c>
    </row>
    <row r="19" spans="1:33" x14ac:dyDescent="0.2">
      <c r="A19" s="8">
        <v>2</v>
      </c>
      <c r="B19" s="5">
        <v>1</v>
      </c>
      <c r="C19" s="5">
        <v>1.1728349499999999</v>
      </c>
      <c r="D19" s="5">
        <v>1</v>
      </c>
      <c r="E19" s="5">
        <v>15.348225899999999</v>
      </c>
      <c r="F19" s="5">
        <v>14.825409000000001</v>
      </c>
      <c r="G19" s="5">
        <v>16.336193999999999</v>
      </c>
      <c r="H19">
        <v>5.0000000000000004E-6</v>
      </c>
      <c r="J19" s="8">
        <v>2</v>
      </c>
      <c r="K19" s="7">
        <v>1</v>
      </c>
      <c r="L19" s="7">
        <v>1.4240501999999999</v>
      </c>
      <c r="M19" s="7">
        <v>1</v>
      </c>
      <c r="N19" s="7">
        <v>8.3042859999999996E-2</v>
      </c>
      <c r="O19" s="7">
        <v>0.15496346</v>
      </c>
      <c r="P19" s="7">
        <v>0.24827312000000001</v>
      </c>
      <c r="Q19" s="7">
        <v>2.2501169700000001</v>
      </c>
      <c r="R19" s="7">
        <v>1.2483305499999999</v>
      </c>
      <c r="S19" s="7">
        <v>1.31950791</v>
      </c>
      <c r="T19">
        <v>2.7889999999999998E-3</v>
      </c>
      <c r="U19">
        <v>0.25767400000000001</v>
      </c>
      <c r="V19" s="8">
        <v>2</v>
      </c>
      <c r="W19" s="7">
        <v>1</v>
      </c>
      <c r="X19" s="7">
        <v>1.1728349499999999</v>
      </c>
      <c r="Y19" s="7">
        <v>1</v>
      </c>
      <c r="Z19" s="7">
        <v>0.70222244</v>
      </c>
      <c r="AA19" s="7">
        <v>1.1728349499999999</v>
      </c>
      <c r="AB19" s="7">
        <v>1.16473359</v>
      </c>
      <c r="AC19" s="7">
        <v>1.04971668</v>
      </c>
      <c r="AD19" s="7">
        <v>1.2745606300000001</v>
      </c>
      <c r="AE19" s="7">
        <v>1.0643701800000001</v>
      </c>
      <c r="AF19">
        <v>0.80240100000000003</v>
      </c>
      <c r="AG19">
        <v>0.48108099999999998</v>
      </c>
    </row>
    <row r="20" spans="1:33" x14ac:dyDescent="0.2">
      <c r="A20" s="8">
        <v>4</v>
      </c>
      <c r="B20" s="5">
        <v>13.4543426</v>
      </c>
      <c r="C20" s="5">
        <v>15.4549813</v>
      </c>
      <c r="D20" s="5">
        <v>16.336193999999999</v>
      </c>
      <c r="E20" s="5">
        <v>73.008877799999993</v>
      </c>
      <c r="F20" s="5">
        <v>64.8934067</v>
      </c>
      <c r="G20" s="5">
        <v>69.551031199999997</v>
      </c>
      <c r="H20">
        <v>2.6999999999999999E-5</v>
      </c>
      <c r="J20" s="8">
        <v>4</v>
      </c>
      <c r="K20" s="7">
        <v>5.4264173099999997</v>
      </c>
      <c r="L20" s="7">
        <v>7.2100036999999997</v>
      </c>
      <c r="M20" s="7">
        <v>5.7757167799999998</v>
      </c>
      <c r="N20" s="7">
        <v>0.15177436</v>
      </c>
      <c r="O20" s="7">
        <v>0.16493848999999999</v>
      </c>
      <c r="P20" s="7">
        <v>0.32533546000000002</v>
      </c>
      <c r="Q20" s="7">
        <v>1.64718203</v>
      </c>
      <c r="R20" s="7">
        <v>1.9588406</v>
      </c>
      <c r="S20" s="7">
        <v>1.7052697800000001</v>
      </c>
      <c r="T20">
        <v>4.17E-4</v>
      </c>
      <c r="U20">
        <v>1.4009999999999999E-3</v>
      </c>
      <c r="V20" s="8">
        <v>4</v>
      </c>
      <c r="W20" s="7">
        <v>1.2058078299999999</v>
      </c>
      <c r="X20" s="7">
        <v>1.9185282400000001</v>
      </c>
      <c r="Y20" s="7">
        <v>1.67017584</v>
      </c>
      <c r="Z20" s="7">
        <v>1.16473359</v>
      </c>
      <c r="AA20" s="7">
        <v>2.5140267500000002</v>
      </c>
      <c r="AB20" s="7">
        <v>1.45397252</v>
      </c>
      <c r="AC20" s="7">
        <v>1.9185282400000001</v>
      </c>
      <c r="AD20" s="7">
        <v>2.11403608</v>
      </c>
      <c r="AE20" s="7">
        <v>1.4640857</v>
      </c>
      <c r="AF20">
        <v>0.81855199999999995</v>
      </c>
      <c r="AG20">
        <v>0.45627600000000001</v>
      </c>
    </row>
    <row r="21" spans="1:33" x14ac:dyDescent="0.2">
      <c r="A21" s="8">
        <v>6</v>
      </c>
      <c r="B21" s="5">
        <v>75.061436799999996</v>
      </c>
      <c r="C21" s="5">
        <v>89.884472000000002</v>
      </c>
      <c r="D21" s="5">
        <v>74.542949500000006</v>
      </c>
      <c r="E21" s="5">
        <v>172.445898</v>
      </c>
      <c r="F21" s="5">
        <v>174.85315299999999</v>
      </c>
      <c r="G21" s="5">
        <v>173.645354</v>
      </c>
      <c r="H21">
        <v>5.0000000000000002E-5</v>
      </c>
      <c r="J21" s="8">
        <v>6</v>
      </c>
      <c r="K21" s="7">
        <v>4.2870938499999998</v>
      </c>
      <c r="L21" s="7">
        <v>7.5161819899999998</v>
      </c>
      <c r="M21" s="7">
        <v>3.24900959</v>
      </c>
      <c r="N21" s="7">
        <v>0.34627736999999997</v>
      </c>
      <c r="O21" s="7">
        <v>0.32308820999999999</v>
      </c>
      <c r="P21" s="7">
        <v>0.53961411999999997</v>
      </c>
      <c r="Q21" s="7">
        <v>1.3103933999999999</v>
      </c>
      <c r="R21" s="7">
        <v>1.8403753</v>
      </c>
      <c r="S21" s="7">
        <v>2.7702189399999999</v>
      </c>
      <c r="T21">
        <v>2.3035E-2</v>
      </c>
      <c r="U21">
        <v>8.7808999999999998E-2</v>
      </c>
      <c r="V21" s="8">
        <v>6</v>
      </c>
      <c r="W21" s="7">
        <v>2.7320805099999999</v>
      </c>
      <c r="X21" s="7">
        <v>3.3403516799999999</v>
      </c>
      <c r="Y21" s="7">
        <v>4.8232313099999997</v>
      </c>
      <c r="Z21" s="7">
        <v>3.0525184200000002</v>
      </c>
      <c r="AA21" s="7">
        <v>2.9690471399999998</v>
      </c>
      <c r="AB21" s="7">
        <v>3.4342617500000001</v>
      </c>
      <c r="AC21" s="7">
        <v>2.1287403600000001</v>
      </c>
      <c r="AD21" s="7">
        <v>2.0705298499999998</v>
      </c>
      <c r="AE21" s="7">
        <v>1.8276629</v>
      </c>
      <c r="AF21">
        <v>0.49329899999999999</v>
      </c>
      <c r="AG21">
        <v>6.1004999999999997E-2</v>
      </c>
    </row>
    <row r="22" spans="1:33" x14ac:dyDescent="0.2">
      <c r="A22" s="8">
        <v>8</v>
      </c>
      <c r="B22" s="5">
        <v>130.68955199999999</v>
      </c>
      <c r="C22" s="5">
        <v>112.985984</v>
      </c>
      <c r="D22" s="5">
        <v>128</v>
      </c>
      <c r="E22" s="5">
        <v>165.42116200000001</v>
      </c>
      <c r="F22" s="5">
        <v>205.07388900000001</v>
      </c>
      <c r="G22" s="5">
        <v>182.278425</v>
      </c>
      <c r="H22">
        <v>9.0519999999999993E-3</v>
      </c>
      <c r="J22" s="8">
        <v>8</v>
      </c>
      <c r="K22" s="7">
        <v>9.8491553100000004</v>
      </c>
      <c r="L22" s="7">
        <v>12.9960383</v>
      </c>
      <c r="M22" s="7">
        <v>11.004334500000001</v>
      </c>
      <c r="N22" s="7">
        <v>3.3403516799999999</v>
      </c>
      <c r="O22" s="7">
        <v>5.3517102200000002</v>
      </c>
      <c r="P22" s="7">
        <v>6.23331664</v>
      </c>
      <c r="Q22" s="7">
        <v>6.4085590200000002</v>
      </c>
      <c r="R22" s="7">
        <v>7.3615012000000002</v>
      </c>
      <c r="S22" s="7">
        <v>7.2601532400000002</v>
      </c>
      <c r="T22">
        <v>7.3730000000000002E-3</v>
      </c>
      <c r="U22">
        <v>1.1539000000000001E-2</v>
      </c>
      <c r="V22" s="8">
        <v>8</v>
      </c>
      <c r="W22" s="7">
        <v>15.1369223</v>
      </c>
      <c r="X22" s="7">
        <v>14.420007399999999</v>
      </c>
      <c r="Y22" s="7">
        <v>14.123247900000001</v>
      </c>
      <c r="Z22" s="7">
        <v>11.313708500000001</v>
      </c>
      <c r="AA22" s="7">
        <v>15.6707248</v>
      </c>
      <c r="AB22" s="7">
        <v>18.000935800000001</v>
      </c>
      <c r="AC22" s="7">
        <v>9.7135590799999996</v>
      </c>
      <c r="AD22" s="7">
        <v>13.737047</v>
      </c>
      <c r="AE22" s="7">
        <v>14.5203065</v>
      </c>
      <c r="AF22">
        <v>0.83706100000000006</v>
      </c>
      <c r="AG22">
        <v>0.27852100000000002</v>
      </c>
    </row>
    <row r="23" spans="1:33" x14ac:dyDescent="0.2">
      <c r="A23" s="8">
        <v>10</v>
      </c>
      <c r="B23" s="5">
        <v>78.248977800000006</v>
      </c>
      <c r="C23" s="5">
        <v>58.0812259</v>
      </c>
      <c r="D23" s="5">
        <v>69.551031199999997</v>
      </c>
      <c r="E23" s="5">
        <v>141.04385500000001</v>
      </c>
      <c r="F23" s="5">
        <v>132.51391000000001</v>
      </c>
      <c r="G23" s="5">
        <v>137.187003</v>
      </c>
      <c r="H23">
        <v>4.2099999999999999E-4</v>
      </c>
      <c r="J23" s="8">
        <v>10</v>
      </c>
      <c r="K23" s="7">
        <v>9.6464626199999994</v>
      </c>
      <c r="L23" s="7">
        <v>9.0630710800000003</v>
      </c>
      <c r="M23" s="7">
        <v>13.737047</v>
      </c>
      <c r="N23" s="7">
        <v>1</v>
      </c>
      <c r="O23" s="7">
        <v>0.99309250000000004</v>
      </c>
      <c r="P23" s="7">
        <v>2.1287403600000001</v>
      </c>
      <c r="Q23" s="7">
        <v>2.8878583899999999</v>
      </c>
      <c r="R23" s="7">
        <v>2.6758551100000001</v>
      </c>
      <c r="S23" s="7">
        <v>2.0562276499999999</v>
      </c>
      <c r="T23">
        <v>3.4020000000000001E-3</v>
      </c>
      <c r="U23">
        <v>5.1609999999999998E-3</v>
      </c>
      <c r="V23" s="8">
        <v>10</v>
      </c>
      <c r="W23" s="7">
        <v>14.420007399999999</v>
      </c>
      <c r="X23" s="7">
        <v>14.025691500000001</v>
      </c>
      <c r="Y23" s="7">
        <v>14.2214829</v>
      </c>
      <c r="Z23" s="7">
        <v>6.6345563700000003</v>
      </c>
      <c r="AA23" s="7">
        <v>7.2100036999999997</v>
      </c>
      <c r="AB23" s="7">
        <v>14.928527900000001</v>
      </c>
      <c r="AC23" s="7">
        <v>5.3147432600000002</v>
      </c>
      <c r="AD23" s="7">
        <v>7.1602005699999998</v>
      </c>
      <c r="AE23" s="7">
        <v>7.3106515999999999</v>
      </c>
      <c r="AF23">
        <v>0.15859200000000001</v>
      </c>
      <c r="AG23">
        <v>3.0499999999999999E-4</v>
      </c>
    </row>
    <row r="24" spans="1:33" x14ac:dyDescent="0.2">
      <c r="A24" s="8">
        <v>12</v>
      </c>
      <c r="B24" s="5">
        <v>61.819925099999999</v>
      </c>
      <c r="C24" s="5">
        <v>65.799284900000004</v>
      </c>
      <c r="D24" s="5">
        <v>71.506376799999998</v>
      </c>
      <c r="E24" s="5">
        <v>82.710581199999993</v>
      </c>
      <c r="F24" s="5">
        <v>89.884472000000002</v>
      </c>
      <c r="G24" s="5">
        <v>77.708472599999993</v>
      </c>
      <c r="H24">
        <v>1.9467000000000002E-2</v>
      </c>
      <c r="J24" s="8">
        <v>12</v>
      </c>
      <c r="K24" s="7">
        <v>6.7739624999999997</v>
      </c>
      <c r="L24" s="7">
        <v>6.4980191700000001</v>
      </c>
      <c r="M24" s="7">
        <v>6.23331664</v>
      </c>
      <c r="N24" s="7">
        <v>0.98623269999999996</v>
      </c>
      <c r="O24" s="7">
        <v>1.2745606300000001</v>
      </c>
      <c r="P24" s="7">
        <v>0.96593633000000001</v>
      </c>
      <c r="Q24" s="7">
        <v>1.0942936999999999</v>
      </c>
      <c r="R24" s="7">
        <v>1.1250584800000001</v>
      </c>
      <c r="S24" s="7">
        <v>3.24900959</v>
      </c>
      <c r="T24">
        <v>7.9999999999999996E-6</v>
      </c>
      <c r="U24">
        <v>3.045E-3</v>
      </c>
      <c r="V24" s="8">
        <v>12</v>
      </c>
      <c r="W24" s="7">
        <v>8.8152409299999999</v>
      </c>
      <c r="X24" s="7">
        <v>9.8491553100000004</v>
      </c>
      <c r="Y24" s="7">
        <v>10.8528346</v>
      </c>
      <c r="Z24" s="7">
        <v>5.81589007</v>
      </c>
      <c r="AA24" s="7">
        <v>5.6177795000000001</v>
      </c>
      <c r="AB24" s="7">
        <v>8.2821193900000001</v>
      </c>
      <c r="AC24" s="7">
        <v>4.5315355400000001</v>
      </c>
      <c r="AD24" s="7">
        <v>2.6207868099999998</v>
      </c>
      <c r="AE24" s="7">
        <v>1.9185282400000001</v>
      </c>
      <c r="AF24">
        <v>3.4743000000000003E-2</v>
      </c>
      <c r="AG24">
        <v>2.225E-3</v>
      </c>
    </row>
    <row r="25" spans="1:33" x14ac:dyDescent="0.2">
      <c r="A25" s="8">
        <v>14</v>
      </c>
      <c r="B25" s="5">
        <v>61.819925099999999</v>
      </c>
      <c r="C25" s="5">
        <v>58.892009600000002</v>
      </c>
      <c r="D25" s="5">
        <v>61.392903599999997</v>
      </c>
      <c r="E25" s="5">
        <v>78.793242500000005</v>
      </c>
      <c r="F25" s="5">
        <v>77.708472599999993</v>
      </c>
      <c r="G25" s="5">
        <v>76.109255399999995</v>
      </c>
      <c r="H25">
        <v>1.4999999999999999E-4</v>
      </c>
      <c r="J25" s="8">
        <v>14</v>
      </c>
      <c r="K25" s="7">
        <v>5.5404378699999999</v>
      </c>
      <c r="L25" s="7">
        <v>7.4127045000000003</v>
      </c>
      <c r="M25" s="7">
        <v>10.3388226</v>
      </c>
      <c r="N25" s="7">
        <v>0.43830286000000002</v>
      </c>
      <c r="O25" s="7">
        <v>0.51050605999999998</v>
      </c>
      <c r="P25" s="7">
        <v>0.48632746999999998</v>
      </c>
      <c r="Q25" s="7">
        <v>0.34388544999999998</v>
      </c>
      <c r="R25" s="7">
        <v>0.47302882000000002</v>
      </c>
      <c r="S25" s="7">
        <v>1.5157165699999999</v>
      </c>
      <c r="T25">
        <v>6.4390000000000003E-3</v>
      </c>
      <c r="U25">
        <v>8.4250000000000002E-3</v>
      </c>
      <c r="V25" s="8">
        <v>14</v>
      </c>
      <c r="W25" s="7">
        <v>11.7126856</v>
      </c>
      <c r="X25" s="7">
        <v>8.9382970999999998</v>
      </c>
      <c r="Y25" s="7">
        <v>8.2821193900000001</v>
      </c>
      <c r="Z25" s="7">
        <v>4.0558379200000001</v>
      </c>
      <c r="AA25" s="7">
        <v>4.7568284600000004</v>
      </c>
      <c r="AB25" s="7">
        <v>5.20536742</v>
      </c>
      <c r="AC25" s="7">
        <v>3.11665832</v>
      </c>
      <c r="AD25" s="7">
        <v>2.60268371</v>
      </c>
      <c r="AE25" s="7">
        <v>2.6573716300000001</v>
      </c>
      <c r="AF25">
        <v>1.0770999999999999E-2</v>
      </c>
      <c r="AG25">
        <v>2.99E-3</v>
      </c>
    </row>
    <row r="26" spans="1:33" x14ac:dyDescent="0.2">
      <c r="A26" s="8">
        <v>16</v>
      </c>
      <c r="B26" s="5">
        <v>2.1287403600000001</v>
      </c>
      <c r="C26" s="5">
        <v>2.32946717</v>
      </c>
      <c r="D26" s="5">
        <v>2.4116156599999998</v>
      </c>
      <c r="E26" s="5">
        <v>7.1602005699999998</v>
      </c>
      <c r="F26" s="5">
        <v>7.8898616400000003</v>
      </c>
      <c r="G26" s="5">
        <v>5.9793969899999997</v>
      </c>
      <c r="H26">
        <v>1.1069999999999999E-3</v>
      </c>
      <c r="J26" s="8">
        <v>16</v>
      </c>
      <c r="K26" s="7">
        <v>3.1383363900000001</v>
      </c>
      <c r="L26" s="7">
        <v>2.0139111000000001</v>
      </c>
      <c r="M26" s="7">
        <v>3.4822022499999998</v>
      </c>
      <c r="N26" s="7">
        <v>0.97942030000000002</v>
      </c>
      <c r="O26" s="7">
        <v>0.53218509000000003</v>
      </c>
      <c r="P26" s="7">
        <v>0.79004131</v>
      </c>
      <c r="Q26" s="7">
        <v>1.388817E-2</v>
      </c>
      <c r="R26" s="7">
        <v>9.1627700000000006E-3</v>
      </c>
      <c r="S26" s="7">
        <v>0.18556544999999999</v>
      </c>
      <c r="T26">
        <v>1.0262E-2</v>
      </c>
      <c r="U26">
        <v>3.2810000000000001E-3</v>
      </c>
      <c r="V26" s="8">
        <v>16</v>
      </c>
      <c r="W26" s="7">
        <v>3.55537072</v>
      </c>
      <c r="X26" s="7">
        <v>2.58470566</v>
      </c>
      <c r="Y26" s="7">
        <v>3.24900959</v>
      </c>
      <c r="Z26" s="7">
        <v>0.52485833999999998</v>
      </c>
      <c r="AA26" s="7">
        <v>0.89502506999999998</v>
      </c>
      <c r="AB26" s="7">
        <v>1.05701804</v>
      </c>
      <c r="AC26" s="7">
        <v>0.91383144999999999</v>
      </c>
      <c r="AD26" s="7">
        <v>0.97265495000000002</v>
      </c>
      <c r="AE26" s="7">
        <v>0.86453723000000005</v>
      </c>
      <c r="AF26">
        <v>2.137E-3</v>
      </c>
      <c r="AG26">
        <v>1.547E-3</v>
      </c>
    </row>
    <row r="29" spans="1:33" x14ac:dyDescent="0.2">
      <c r="A29" s="3" t="s">
        <v>21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33" x14ac:dyDescent="0.2">
      <c r="A30" s="54" t="s">
        <v>3</v>
      </c>
      <c r="B30" s="54"/>
      <c r="C30" s="54"/>
      <c r="D30" s="54"/>
      <c r="E30" s="59" t="s">
        <v>11</v>
      </c>
      <c r="F30" s="59"/>
      <c r="G30" s="59"/>
      <c r="H30" s="59"/>
      <c r="I30" s="54" t="s">
        <v>4</v>
      </c>
      <c r="J30" s="54"/>
      <c r="K30" s="54"/>
      <c r="L30" s="54"/>
      <c r="M30" s="54" t="s">
        <v>5</v>
      </c>
      <c r="N30" s="54"/>
      <c r="O30" s="54"/>
      <c r="P30" s="54"/>
    </row>
    <row r="31" spans="1:33" x14ac:dyDescent="0.2">
      <c r="A31" s="7">
        <v>1</v>
      </c>
      <c r="B31" s="7">
        <v>0.85517500000000002</v>
      </c>
      <c r="C31" s="7">
        <v>0.91833100000000001</v>
      </c>
      <c r="D31" s="7">
        <v>0.87967799999999996</v>
      </c>
      <c r="E31" s="7">
        <v>0.62095</v>
      </c>
      <c r="F31" s="7">
        <v>0.69496500000000005</v>
      </c>
      <c r="G31" s="7">
        <v>0.69642499999999996</v>
      </c>
      <c r="H31" s="7">
        <v>0.67563099999999998</v>
      </c>
      <c r="I31" s="7">
        <v>0.67811600000000005</v>
      </c>
      <c r="J31" s="7">
        <v>0.62495800000000001</v>
      </c>
      <c r="K31" s="7">
        <v>0.72206899999999996</v>
      </c>
      <c r="L31" s="7">
        <v>0.70555000000000001</v>
      </c>
      <c r="M31" s="4">
        <v>0.59221543223348749</v>
      </c>
      <c r="N31" s="4">
        <v>0.63353330577541445</v>
      </c>
      <c r="O31" s="4">
        <v>0.73587434833243448</v>
      </c>
      <c r="P31" s="4">
        <v>0.75851004891617502</v>
      </c>
    </row>
    <row r="32" spans="1:33" x14ac:dyDescent="0.2">
      <c r="E32">
        <f>_xlfn.T.TEST(A31:D31,E31:H31,2,2)</f>
        <v>5.5803902331228459E-4</v>
      </c>
      <c r="I32">
        <f>_xlfn.T.TEST(A31:D31,I31:L31,2,2)</f>
        <v>9.2914455790760458E-4</v>
      </c>
      <c r="M32">
        <f>_xlfn.T.TEST(A31:D31,M31:P31,2,2)</f>
        <v>3.7924553072520807E-3</v>
      </c>
      <c r="Q32" t="s">
        <v>391</v>
      </c>
    </row>
    <row r="34" spans="1:19" x14ac:dyDescent="0.2">
      <c r="A34" s="3" t="s">
        <v>19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9" x14ac:dyDescent="0.2">
      <c r="A35" s="58" t="s">
        <v>6</v>
      </c>
      <c r="B35" s="58"/>
      <c r="C35" s="58"/>
      <c r="D35" s="58"/>
      <c r="E35" s="58"/>
      <c r="F35" s="58"/>
      <c r="G35" s="58"/>
      <c r="H35" s="58"/>
      <c r="I35" s="58"/>
      <c r="J35" s="58" t="s">
        <v>20</v>
      </c>
      <c r="K35" s="58"/>
      <c r="L35" s="58"/>
      <c r="M35" s="58"/>
      <c r="N35" s="58"/>
      <c r="O35" s="58"/>
      <c r="P35" s="58"/>
      <c r="Q35" s="58"/>
      <c r="R35" s="58"/>
    </row>
    <row r="36" spans="1:19" x14ac:dyDescent="0.2">
      <c r="A36" s="54" t="s">
        <v>3</v>
      </c>
      <c r="B36" s="54"/>
      <c r="C36" s="54"/>
      <c r="D36" s="54" t="s">
        <v>4</v>
      </c>
      <c r="E36" s="54"/>
      <c r="F36" s="54"/>
      <c r="G36" s="54" t="s">
        <v>5</v>
      </c>
      <c r="H36" s="54"/>
      <c r="I36" s="54"/>
      <c r="J36" s="54" t="s">
        <v>3</v>
      </c>
      <c r="K36" s="54"/>
      <c r="L36" s="54"/>
      <c r="M36" s="54" t="s">
        <v>4</v>
      </c>
      <c r="N36" s="54"/>
      <c r="O36" s="54"/>
      <c r="P36" s="54" t="s">
        <v>5</v>
      </c>
      <c r="Q36" s="54"/>
      <c r="R36" s="54"/>
    </row>
    <row r="37" spans="1:19" x14ac:dyDescent="0.2">
      <c r="A37" s="7">
        <v>1.028114</v>
      </c>
      <c r="B37" s="7">
        <v>0.95926400000000001</v>
      </c>
      <c r="C37" s="7">
        <v>1.0139590000000001</v>
      </c>
      <c r="D37" s="7">
        <v>1.9633719999999999</v>
      </c>
      <c r="E37" s="7">
        <v>2.2089080000000001</v>
      </c>
      <c r="F37" s="7">
        <v>1.7572669999999999</v>
      </c>
      <c r="G37" s="7">
        <v>1.307369</v>
      </c>
      <c r="H37" s="7">
        <v>1.4708669999999999</v>
      </c>
      <c r="I37" s="7">
        <v>1.33484</v>
      </c>
      <c r="J37" s="7">
        <v>0.97490500000000002</v>
      </c>
      <c r="K37" s="7">
        <v>0.76489499999999999</v>
      </c>
      <c r="L37" s="7">
        <v>1.3410219999999999</v>
      </c>
      <c r="M37" s="7">
        <v>3.630077</v>
      </c>
      <c r="N37" s="7">
        <v>3.6807509999999999</v>
      </c>
      <c r="O37" s="7">
        <v>2.6573720000000001</v>
      </c>
      <c r="P37" s="7">
        <v>2.537369</v>
      </c>
      <c r="Q37" s="7">
        <v>2.5198420000000001</v>
      </c>
      <c r="R37" s="7">
        <v>2.1936499999999999</v>
      </c>
    </row>
    <row r="38" spans="1:19" x14ac:dyDescent="0.2">
      <c r="D38">
        <f>_xlfn.T.TEST(A37:C37,D37:F37,2,2)</f>
        <v>1.7950355933590591E-3</v>
      </c>
      <c r="G38">
        <f>_xlfn.T.TEST(A37:C37,G37:I37,2,2)</f>
        <v>2.4828529406075769E-3</v>
      </c>
      <c r="M38">
        <f>_xlfn.T.TEST(J37:L37,M37:O37,2,2)</f>
        <v>3.5400869896394867E-3</v>
      </c>
      <c r="P38">
        <f>_xlfn.T.TEST(J37:L37,P37:R37,2,2)</f>
        <v>2.3397925217621394E-3</v>
      </c>
      <c r="S38" t="s">
        <v>391</v>
      </c>
    </row>
  </sheetData>
  <mergeCells count="49">
    <mergeCell ref="B1:I1"/>
    <mergeCell ref="L1:T1"/>
    <mergeCell ref="B5:F5"/>
    <mergeCell ref="I5:N5"/>
    <mergeCell ref="R6:T6"/>
    <mergeCell ref="U6:W6"/>
    <mergeCell ref="X6:Z6"/>
    <mergeCell ref="A2:C2"/>
    <mergeCell ref="D2:F2"/>
    <mergeCell ref="G2:I2"/>
    <mergeCell ref="L2:N2"/>
    <mergeCell ref="O2:Q2"/>
    <mergeCell ref="R2:T2"/>
    <mergeCell ref="A6:C6"/>
    <mergeCell ref="D6:F6"/>
    <mergeCell ref="I6:K6"/>
    <mergeCell ref="L6:N6"/>
    <mergeCell ref="W18:Y18"/>
    <mergeCell ref="Z18:AB18"/>
    <mergeCell ref="AC18:AE18"/>
    <mergeCell ref="K18:M18"/>
    <mergeCell ref="N18:P18"/>
    <mergeCell ref="Q18:S18"/>
    <mergeCell ref="J35:R35"/>
    <mergeCell ref="A30:D30"/>
    <mergeCell ref="E30:H30"/>
    <mergeCell ref="I30:L30"/>
    <mergeCell ref="M30:P30"/>
    <mergeCell ref="H11:M11"/>
    <mergeCell ref="O11:T11"/>
    <mergeCell ref="V11:AA11"/>
    <mergeCell ref="A36:C36"/>
    <mergeCell ref="D36:F36"/>
    <mergeCell ref="G36:I36"/>
    <mergeCell ref="A35:I35"/>
    <mergeCell ref="J36:L36"/>
    <mergeCell ref="M36:O36"/>
    <mergeCell ref="H12:J12"/>
    <mergeCell ref="K12:M12"/>
    <mergeCell ref="O12:Q12"/>
    <mergeCell ref="R12:T12"/>
    <mergeCell ref="V12:X12"/>
    <mergeCell ref="Y12:AA12"/>
    <mergeCell ref="P36:R36"/>
    <mergeCell ref="B18:D18"/>
    <mergeCell ref="E18:G18"/>
    <mergeCell ref="A12:C12"/>
    <mergeCell ref="D12:F12"/>
    <mergeCell ref="A11:F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5"/>
  <sheetViews>
    <sheetView topLeftCell="J46" zoomScale="110" workbookViewId="0">
      <selection activeCell="N46" sqref="N46"/>
    </sheetView>
  </sheetViews>
  <sheetFormatPr baseColWidth="10" defaultColWidth="8.83203125" defaultRowHeight="15" x14ac:dyDescent="0.2"/>
  <sheetData>
    <row r="1" spans="1:27" x14ac:dyDescent="0.2">
      <c r="A1" s="3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">
      <c r="A2" s="11" t="s">
        <v>33</v>
      </c>
      <c r="B2" s="53" t="s">
        <v>22</v>
      </c>
      <c r="C2" s="53"/>
      <c r="D2" s="53"/>
      <c r="E2" s="53"/>
      <c r="F2" s="53" t="s">
        <v>29</v>
      </c>
      <c r="G2" s="53"/>
      <c r="H2" s="53"/>
      <c r="I2" s="53"/>
      <c r="J2" s="53" t="s">
        <v>30</v>
      </c>
      <c r="K2" s="53"/>
      <c r="L2" s="53"/>
      <c r="M2" s="53"/>
      <c r="N2" s="4"/>
      <c r="O2" s="11" t="s">
        <v>32</v>
      </c>
      <c r="P2" s="53" t="s">
        <v>22</v>
      </c>
      <c r="Q2" s="53"/>
      <c r="R2" s="53"/>
      <c r="S2" s="53"/>
      <c r="T2" s="53" t="s">
        <v>29</v>
      </c>
      <c r="U2" s="53"/>
      <c r="V2" s="53"/>
      <c r="W2" s="53"/>
      <c r="X2" s="53" t="s">
        <v>30</v>
      </c>
      <c r="Y2" s="53"/>
      <c r="Z2" s="53"/>
      <c r="AA2" s="53"/>
    </row>
    <row r="3" spans="1:27" x14ac:dyDescent="0.2">
      <c r="A3" s="5">
        <v>0.1</v>
      </c>
      <c r="B3" s="5">
        <v>103.3035</v>
      </c>
      <c r="C3" s="5">
        <v>92.154160000000005</v>
      </c>
      <c r="D3" s="5">
        <v>94.218860000000006</v>
      </c>
      <c r="E3" s="5">
        <v>110.3235</v>
      </c>
      <c r="F3" s="5">
        <v>95.277019999999993</v>
      </c>
      <c r="G3" s="5">
        <v>100.7266</v>
      </c>
      <c r="H3" s="5">
        <v>102.9064</v>
      </c>
      <c r="I3" s="5">
        <v>101.0899</v>
      </c>
      <c r="J3" s="5">
        <v>103.6503</v>
      </c>
      <c r="K3" s="5">
        <v>107.72499999999999</v>
      </c>
      <c r="L3" s="5">
        <v>98.896429999999995</v>
      </c>
      <c r="M3" s="5">
        <v>89.728350000000006</v>
      </c>
      <c r="N3" s="4"/>
      <c r="O3" s="5">
        <v>0.1</v>
      </c>
      <c r="P3" s="5">
        <v>92.207419999999999</v>
      </c>
      <c r="Q3" s="5">
        <v>94.587699999999998</v>
      </c>
      <c r="R3" s="5">
        <v>105.46899999999999</v>
      </c>
      <c r="S3" s="5">
        <v>107.7359</v>
      </c>
      <c r="T3" s="5">
        <v>98.42004</v>
      </c>
      <c r="U3" s="5">
        <v>99.344890000000007</v>
      </c>
      <c r="V3" s="5">
        <v>97.649330000000006</v>
      </c>
      <c r="W3" s="5">
        <v>104.5857</v>
      </c>
      <c r="X3" s="5">
        <v>105.3922</v>
      </c>
      <c r="Y3" s="5">
        <v>103.7115</v>
      </c>
      <c r="Z3" s="5">
        <v>101.8908</v>
      </c>
      <c r="AA3" s="5">
        <v>89.005600000000001</v>
      </c>
    </row>
    <row r="4" spans="1:27" x14ac:dyDescent="0.2">
      <c r="A4" s="5">
        <v>1</v>
      </c>
      <c r="B4" s="5">
        <v>93.530630000000002</v>
      </c>
      <c r="C4" s="5">
        <v>103.0282</v>
      </c>
      <c r="D4" s="5">
        <v>105.2306</v>
      </c>
      <c r="E4" s="5">
        <v>100.2753</v>
      </c>
      <c r="F4" s="5">
        <v>100</v>
      </c>
      <c r="G4" s="5">
        <v>91.280649999999994</v>
      </c>
      <c r="H4" s="5">
        <v>99.818349999999995</v>
      </c>
      <c r="I4" s="5">
        <v>106.3579</v>
      </c>
      <c r="J4" s="5">
        <v>113.66719999999999</v>
      </c>
      <c r="K4" s="5">
        <v>102.63160000000001</v>
      </c>
      <c r="L4" s="5">
        <v>98.726659999999995</v>
      </c>
      <c r="M4" s="5">
        <v>76.485569999999996</v>
      </c>
      <c r="N4" s="4"/>
      <c r="O4" s="5">
        <v>1</v>
      </c>
      <c r="P4" s="5">
        <v>91.414000000000001</v>
      </c>
      <c r="Q4" s="5">
        <v>102.9753</v>
      </c>
      <c r="R4" s="5">
        <v>108.98269999999999</v>
      </c>
      <c r="S4" s="5">
        <v>112.1564</v>
      </c>
      <c r="T4" s="5">
        <v>104.1233</v>
      </c>
      <c r="U4" s="5">
        <v>106.4355</v>
      </c>
      <c r="V4" s="5">
        <v>109.05589999999999</v>
      </c>
      <c r="W4" s="5">
        <v>106.2813</v>
      </c>
      <c r="X4" s="5">
        <v>115.8964</v>
      </c>
      <c r="Y4" s="5">
        <v>118.9776</v>
      </c>
      <c r="Z4" s="5">
        <v>105.9524</v>
      </c>
      <c r="AA4" s="5">
        <v>92.787109999999998</v>
      </c>
    </row>
    <row r="5" spans="1:27" x14ac:dyDescent="0.2">
      <c r="A5" s="5">
        <v>10</v>
      </c>
      <c r="B5" s="5">
        <v>97.797659999999993</v>
      </c>
      <c r="C5" s="5">
        <v>98.348249999999993</v>
      </c>
      <c r="D5" s="5">
        <v>106.3317</v>
      </c>
      <c r="E5" s="5">
        <v>115.4164</v>
      </c>
      <c r="F5" s="5">
        <v>92.915530000000004</v>
      </c>
      <c r="G5" s="5">
        <v>85.649410000000003</v>
      </c>
      <c r="H5" s="5">
        <v>100.545</v>
      </c>
      <c r="I5" s="5">
        <v>94.913709999999995</v>
      </c>
      <c r="J5" s="5">
        <v>116.5535</v>
      </c>
      <c r="K5" s="5">
        <v>107.8947</v>
      </c>
      <c r="L5" s="5">
        <v>106.02719999999999</v>
      </c>
      <c r="M5" s="5">
        <v>80.39049</v>
      </c>
      <c r="N5" s="4"/>
      <c r="O5" s="5">
        <v>10</v>
      </c>
      <c r="P5" s="5">
        <v>97.534710000000004</v>
      </c>
      <c r="Q5" s="5">
        <v>102.0686</v>
      </c>
      <c r="R5" s="5">
        <v>103.3154</v>
      </c>
      <c r="S5" s="5">
        <v>105.3556</v>
      </c>
      <c r="T5" s="5">
        <v>104.2775</v>
      </c>
      <c r="U5" s="5">
        <v>100.4239</v>
      </c>
      <c r="V5" s="5">
        <v>106.89790000000001</v>
      </c>
      <c r="W5" s="5">
        <v>102.5819</v>
      </c>
      <c r="X5" s="5">
        <v>110.9944</v>
      </c>
      <c r="Y5" s="5">
        <v>109.73390000000001</v>
      </c>
      <c r="Z5" s="5">
        <v>109.3137</v>
      </c>
      <c r="AA5" s="5">
        <v>90.686269999999993</v>
      </c>
    </row>
    <row r="6" spans="1:27" x14ac:dyDescent="0.2">
      <c r="A6" s="5">
        <v>100</v>
      </c>
      <c r="B6" s="5">
        <v>89.125950000000003</v>
      </c>
      <c r="C6" s="5">
        <v>101.5141</v>
      </c>
      <c r="D6" s="5">
        <v>106.607</v>
      </c>
      <c r="E6" s="5">
        <v>106.8823</v>
      </c>
      <c r="F6" s="5">
        <v>99.273390000000006</v>
      </c>
      <c r="G6" s="5">
        <v>104.3597</v>
      </c>
      <c r="H6" s="5">
        <v>102.7248</v>
      </c>
      <c r="I6" s="5">
        <v>97.093549999999993</v>
      </c>
      <c r="J6" s="5">
        <v>100.0849</v>
      </c>
      <c r="K6" s="5">
        <v>87.860780000000005</v>
      </c>
      <c r="L6" s="5">
        <v>73.429540000000003</v>
      </c>
      <c r="M6" s="5">
        <v>42.699489999999997</v>
      </c>
      <c r="N6" s="4"/>
      <c r="O6" s="5">
        <v>100</v>
      </c>
      <c r="P6" s="5">
        <v>80.419380000000004</v>
      </c>
      <c r="Q6" s="5">
        <v>102.52200000000001</v>
      </c>
      <c r="R6" s="5">
        <v>104.1088</v>
      </c>
      <c r="S6" s="5">
        <v>106.03570000000001</v>
      </c>
      <c r="T6" s="5">
        <v>96.416179999999997</v>
      </c>
      <c r="U6" s="5">
        <v>99.499039999999994</v>
      </c>
      <c r="V6" s="5">
        <v>106.1272</v>
      </c>
      <c r="W6" s="5">
        <v>97.803470000000004</v>
      </c>
      <c r="X6" s="5">
        <v>98.10924</v>
      </c>
      <c r="Y6" s="5">
        <v>93.207279999999997</v>
      </c>
      <c r="Z6" s="5">
        <v>76.120450000000005</v>
      </c>
      <c r="AA6" s="5">
        <v>50.210079999999998</v>
      </c>
    </row>
    <row r="7" spans="1:27" x14ac:dyDescent="0.2">
      <c r="A7" s="5">
        <v>200</v>
      </c>
      <c r="B7" s="5">
        <v>86.923609999999996</v>
      </c>
      <c r="C7" s="5">
        <v>91.603579999999994</v>
      </c>
      <c r="D7" s="5">
        <v>89.401240000000001</v>
      </c>
      <c r="E7" s="5">
        <v>91.46593</v>
      </c>
      <c r="F7" s="5">
        <v>54.041780000000003</v>
      </c>
      <c r="G7" s="5">
        <v>56.403269999999999</v>
      </c>
      <c r="H7" s="5">
        <v>48.410539999999997</v>
      </c>
      <c r="I7" s="5">
        <v>46.775660000000002</v>
      </c>
      <c r="J7" s="5">
        <v>37.266550000000002</v>
      </c>
      <c r="K7" s="5">
        <v>54.753819999999997</v>
      </c>
      <c r="L7" s="5">
        <v>29.62649</v>
      </c>
      <c r="M7" s="5">
        <v>21.81664</v>
      </c>
      <c r="N7" s="4"/>
      <c r="O7" s="5">
        <v>200</v>
      </c>
      <c r="P7" s="5">
        <v>83.706429999999997</v>
      </c>
      <c r="Q7" s="5">
        <v>99.121560000000002</v>
      </c>
      <c r="R7" s="5">
        <v>101.6152</v>
      </c>
      <c r="S7" s="5">
        <v>106.37569999999999</v>
      </c>
      <c r="T7" s="5">
        <v>78.381500000000003</v>
      </c>
      <c r="U7" s="5">
        <v>75.606939999999994</v>
      </c>
      <c r="V7" s="5">
        <v>73.911370000000005</v>
      </c>
      <c r="W7" s="5">
        <v>72.986509999999996</v>
      </c>
      <c r="X7" s="5">
        <v>53.85154</v>
      </c>
      <c r="Y7" s="5">
        <v>51.190480000000001</v>
      </c>
      <c r="Z7" s="5">
        <v>50.490200000000002</v>
      </c>
      <c r="AA7" s="5">
        <v>51.470590000000001</v>
      </c>
    </row>
    <row r="8" spans="1:27" x14ac:dyDescent="0.2">
      <c r="A8" s="5">
        <v>500</v>
      </c>
      <c r="B8" s="5">
        <v>87.611840000000001</v>
      </c>
      <c r="C8" s="5">
        <v>70.819000000000003</v>
      </c>
      <c r="D8" s="5">
        <v>65.313149999999993</v>
      </c>
      <c r="E8" s="5">
        <v>69.717830000000006</v>
      </c>
      <c r="F8" s="5">
        <v>21.34423</v>
      </c>
      <c r="G8" s="5">
        <v>22.797460000000001</v>
      </c>
      <c r="H8" s="5">
        <v>21.707540000000002</v>
      </c>
      <c r="I8" s="5">
        <v>13.3515</v>
      </c>
      <c r="J8" s="5">
        <v>12.818339999999999</v>
      </c>
      <c r="K8" s="5">
        <v>20.458400000000001</v>
      </c>
      <c r="L8" s="5">
        <v>10.78098</v>
      </c>
      <c r="M8" s="5">
        <v>17.57216</v>
      </c>
      <c r="N8" s="4"/>
      <c r="O8" s="5">
        <v>500</v>
      </c>
      <c r="P8" s="5">
        <v>54.236330000000002</v>
      </c>
      <c r="Q8" s="5">
        <v>74.185320000000004</v>
      </c>
      <c r="R8" s="5">
        <v>64.437520000000006</v>
      </c>
      <c r="S8" s="5">
        <v>80.646079999999998</v>
      </c>
      <c r="T8" s="5">
        <v>28.593450000000001</v>
      </c>
      <c r="U8" s="5">
        <v>26.281310000000001</v>
      </c>
      <c r="V8" s="5">
        <v>27.20617</v>
      </c>
      <c r="W8" s="5">
        <v>29.5183</v>
      </c>
      <c r="X8" s="5">
        <v>22.7591</v>
      </c>
      <c r="Y8" s="5">
        <v>23.03922</v>
      </c>
      <c r="Z8" s="5">
        <v>18.977589999999999</v>
      </c>
      <c r="AA8" s="5">
        <v>19.397760000000002</v>
      </c>
    </row>
    <row r="11" spans="1:27" x14ac:dyDescent="0.2">
      <c r="A11" s="3" t="s">
        <v>48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t="s">
        <v>396</v>
      </c>
      <c r="O11" t="s">
        <v>399</v>
      </c>
    </row>
    <row r="12" spans="1:27" x14ac:dyDescent="0.2">
      <c r="A12" s="11"/>
      <c r="B12" s="53" t="s">
        <v>22</v>
      </c>
      <c r="C12" s="53"/>
      <c r="D12" s="53"/>
      <c r="E12" s="53"/>
      <c r="F12" s="53" t="s">
        <v>29</v>
      </c>
      <c r="G12" s="53"/>
      <c r="H12" s="53"/>
      <c r="I12" s="53"/>
      <c r="J12" s="53" t="s">
        <v>30</v>
      </c>
      <c r="K12" s="53"/>
      <c r="L12" s="53"/>
      <c r="M12" s="53"/>
      <c r="N12" t="s">
        <v>391</v>
      </c>
      <c r="O12" t="s">
        <v>391</v>
      </c>
    </row>
    <row r="13" spans="1:27" x14ac:dyDescent="0.2">
      <c r="A13" s="8" t="s">
        <v>25</v>
      </c>
      <c r="B13" s="5">
        <v>92.867009999999993</v>
      </c>
      <c r="C13" s="5">
        <v>105.11320000000001</v>
      </c>
      <c r="D13" s="5">
        <v>100.0106</v>
      </c>
      <c r="E13" s="5">
        <v>102.0091</v>
      </c>
      <c r="F13" s="5">
        <v>102.5564</v>
      </c>
      <c r="G13" s="5">
        <v>101.3156</v>
      </c>
      <c r="H13" s="5">
        <v>97.807249999999996</v>
      </c>
      <c r="I13" s="5">
        <v>98.320679999999996</v>
      </c>
      <c r="J13" s="5">
        <v>99.70478</v>
      </c>
      <c r="K13" s="5">
        <v>100.37390000000001</v>
      </c>
      <c r="L13" s="5">
        <v>101.94840000000001</v>
      </c>
      <c r="M13" s="5">
        <v>97.972840000000005</v>
      </c>
      <c r="N13">
        <v>0.99999899999999997</v>
      </c>
      <c r="O13" t="s">
        <v>397</v>
      </c>
    </row>
    <row r="14" spans="1:27" x14ac:dyDescent="0.2">
      <c r="A14" s="8" t="s">
        <v>33</v>
      </c>
      <c r="B14" s="5">
        <v>77.134050000000002</v>
      </c>
      <c r="C14" s="5">
        <v>80.408209999999997</v>
      </c>
      <c r="D14" s="5">
        <v>83.852450000000005</v>
      </c>
      <c r="E14" s="5">
        <v>82.789410000000004</v>
      </c>
      <c r="F14" s="5">
        <v>57.66581</v>
      </c>
      <c r="G14" s="5">
        <v>56.406219999999998</v>
      </c>
      <c r="H14" s="5">
        <v>58.020069999999997</v>
      </c>
      <c r="I14" s="5">
        <v>53.96575</v>
      </c>
      <c r="J14" s="5">
        <v>35.169539999999998</v>
      </c>
      <c r="K14" s="5">
        <v>34.741680000000002</v>
      </c>
      <c r="L14" s="5">
        <v>35.426250000000003</v>
      </c>
      <c r="M14" s="5">
        <v>33.800409999999999</v>
      </c>
      <c r="N14">
        <v>7.9999999999999996E-6</v>
      </c>
      <c r="O14" t="s">
        <v>398</v>
      </c>
    </row>
    <row r="15" spans="1:27" x14ac:dyDescent="0.2">
      <c r="A15" s="8" t="s">
        <v>47</v>
      </c>
      <c r="B15" s="5">
        <v>104.6875</v>
      </c>
      <c r="C15" s="5">
        <v>100.41119999999999</v>
      </c>
      <c r="D15" s="5">
        <v>98.766450000000006</v>
      </c>
      <c r="E15" s="5">
        <v>96.463819999999998</v>
      </c>
      <c r="F15" s="5">
        <v>97.696209999999994</v>
      </c>
      <c r="G15" s="5">
        <v>103.1628</v>
      </c>
      <c r="H15" s="5">
        <v>104.2561</v>
      </c>
      <c r="I15" s="5">
        <v>101.75709999999999</v>
      </c>
      <c r="J15" s="5">
        <v>98.273679999999999</v>
      </c>
      <c r="K15" s="5">
        <v>96.589470000000006</v>
      </c>
      <c r="L15" s="5">
        <v>97.768420000000006</v>
      </c>
      <c r="M15" s="5">
        <v>98.778949999999995</v>
      </c>
      <c r="N15">
        <v>0.49491600000000002</v>
      </c>
      <c r="O15">
        <v>0.26117000000000001</v>
      </c>
    </row>
    <row r="16" spans="1:27" x14ac:dyDescent="0.2">
      <c r="A16" s="8" t="s">
        <v>37</v>
      </c>
      <c r="B16" s="5">
        <v>113.7336</v>
      </c>
      <c r="C16" s="5">
        <v>114.3914</v>
      </c>
      <c r="D16" s="5">
        <v>108.4704</v>
      </c>
      <c r="E16" s="5">
        <v>114.227</v>
      </c>
      <c r="F16" s="5">
        <v>116.9075</v>
      </c>
      <c r="G16" s="5">
        <v>118.6255</v>
      </c>
      <c r="H16" s="5">
        <v>113.0027</v>
      </c>
      <c r="I16" s="5">
        <v>102.5381</v>
      </c>
      <c r="J16" s="5">
        <v>114.27370000000001</v>
      </c>
      <c r="K16" s="5">
        <v>121.1789</v>
      </c>
      <c r="L16" s="5">
        <v>100.8</v>
      </c>
      <c r="M16" s="5">
        <v>98.105260000000001</v>
      </c>
      <c r="N16">
        <v>0.98758900000000005</v>
      </c>
      <c r="O16">
        <v>0.49507299999999999</v>
      </c>
    </row>
    <row r="21" spans="1:29" x14ac:dyDescent="0.2">
      <c r="A21" s="3" t="s">
        <v>34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29" x14ac:dyDescent="0.2">
      <c r="A22" s="11" t="s">
        <v>33</v>
      </c>
      <c r="B22" s="53" t="s">
        <v>0</v>
      </c>
      <c r="C22" s="53"/>
      <c r="D22" s="53"/>
      <c r="E22" s="53" t="s">
        <v>1</v>
      </c>
      <c r="F22" s="53"/>
      <c r="G22" s="53"/>
      <c r="H22" s="11"/>
      <c r="I22" s="4" t="s">
        <v>32</v>
      </c>
      <c r="J22" s="53" t="s">
        <v>0</v>
      </c>
      <c r="K22" s="53"/>
      <c r="L22" s="53"/>
      <c r="M22" s="53" t="s">
        <v>1</v>
      </c>
      <c r="N22" s="53"/>
      <c r="O22" s="53"/>
    </row>
    <row r="23" spans="1:29" x14ac:dyDescent="0.2">
      <c r="A23" s="5">
        <v>0.1</v>
      </c>
      <c r="B23" s="5">
        <v>101.8857</v>
      </c>
      <c r="C23" s="5">
        <v>100.8674</v>
      </c>
      <c r="D23" s="5">
        <v>97.246840000000006</v>
      </c>
      <c r="E23" s="5">
        <v>101.17059999999999</v>
      </c>
      <c r="F23" s="5">
        <v>99.72457</v>
      </c>
      <c r="G23" s="5">
        <v>99.104839999999996</v>
      </c>
      <c r="H23" s="5"/>
      <c r="I23" s="5">
        <v>0.1</v>
      </c>
      <c r="J23" s="5">
        <v>105.6131</v>
      </c>
      <c r="K23" s="5">
        <v>99.284229999999994</v>
      </c>
      <c r="L23" s="5">
        <v>95.10266</v>
      </c>
      <c r="M23" s="5">
        <v>100.8077</v>
      </c>
      <c r="N23" s="5">
        <v>100</v>
      </c>
      <c r="O23" s="5">
        <v>99.192329999999998</v>
      </c>
    </row>
    <row r="24" spans="1:29" x14ac:dyDescent="0.2">
      <c r="A24" s="5">
        <v>10</v>
      </c>
      <c r="B24" s="5">
        <v>98.604560000000006</v>
      </c>
      <c r="C24" s="5">
        <v>94.305109999999999</v>
      </c>
      <c r="D24" s="5">
        <v>92.834239999999994</v>
      </c>
      <c r="E24" s="5">
        <v>97.968670000000003</v>
      </c>
      <c r="F24" s="5">
        <v>99.208129999999997</v>
      </c>
      <c r="G24" s="5">
        <v>97.245649999999998</v>
      </c>
      <c r="H24" s="5"/>
      <c r="I24" s="5">
        <v>10</v>
      </c>
      <c r="J24" s="5">
        <v>102.3357</v>
      </c>
      <c r="K24" s="5">
        <v>96.684870000000004</v>
      </c>
      <c r="L24" s="5">
        <v>95.780749999999998</v>
      </c>
      <c r="M24" s="5">
        <v>100.90860000000001</v>
      </c>
      <c r="N24" s="5">
        <v>98.687529999999995</v>
      </c>
      <c r="O24" s="5">
        <v>100.8077</v>
      </c>
    </row>
    <row r="25" spans="1:29" x14ac:dyDescent="0.2">
      <c r="A25" s="5">
        <v>50</v>
      </c>
      <c r="B25" s="5">
        <v>94.531400000000005</v>
      </c>
      <c r="C25" s="5">
        <v>95.210260000000005</v>
      </c>
      <c r="D25" s="5">
        <v>95.549689999999998</v>
      </c>
      <c r="E25" s="5">
        <v>100.241</v>
      </c>
      <c r="F25" s="5">
        <v>98.175250000000005</v>
      </c>
      <c r="G25" s="5">
        <v>100.03440000000001</v>
      </c>
      <c r="H25" s="5"/>
      <c r="I25" s="5">
        <v>50</v>
      </c>
      <c r="J25" s="5">
        <v>101.6576</v>
      </c>
      <c r="K25" s="5">
        <v>95.328689999999995</v>
      </c>
      <c r="L25" s="5">
        <v>91.486159999999998</v>
      </c>
      <c r="M25" s="5">
        <v>102.0192</v>
      </c>
      <c r="N25" s="5">
        <v>102.32210000000001</v>
      </c>
      <c r="O25" s="5">
        <v>102.6249</v>
      </c>
    </row>
    <row r="26" spans="1:29" x14ac:dyDescent="0.2">
      <c r="A26" s="5">
        <v>100</v>
      </c>
      <c r="B26" s="5">
        <v>68.734679999999997</v>
      </c>
      <c r="C26" s="5">
        <v>70.997550000000004</v>
      </c>
      <c r="D26" s="5">
        <v>69.526679999999999</v>
      </c>
      <c r="E26" s="5">
        <v>98.794970000000006</v>
      </c>
      <c r="F26" s="5">
        <v>95.17989</v>
      </c>
      <c r="G26" s="5">
        <v>97.762090000000001</v>
      </c>
      <c r="H26" s="5"/>
      <c r="I26" s="5">
        <v>100</v>
      </c>
      <c r="J26" s="5">
        <v>92.503299999999996</v>
      </c>
      <c r="K26" s="5">
        <v>91.486159999999998</v>
      </c>
      <c r="L26" s="5">
        <v>87.982669999999999</v>
      </c>
      <c r="M26" s="5">
        <v>96.365470000000002</v>
      </c>
      <c r="N26" s="5">
        <v>97.173140000000004</v>
      </c>
      <c r="O26" s="5">
        <v>96.769310000000004</v>
      </c>
    </row>
    <row r="27" spans="1:29" x14ac:dyDescent="0.2">
      <c r="A27" s="5">
        <v>200</v>
      </c>
      <c r="B27" s="5">
        <v>30.944749999999999</v>
      </c>
      <c r="C27" s="5">
        <v>28.229299999999999</v>
      </c>
      <c r="D27" s="5">
        <v>27.663589999999999</v>
      </c>
      <c r="E27" s="5">
        <v>100.3443</v>
      </c>
      <c r="F27" s="5">
        <v>100.1377</v>
      </c>
      <c r="G27" s="5">
        <v>98.898259999999993</v>
      </c>
      <c r="H27" s="5"/>
      <c r="I27" s="5">
        <v>200</v>
      </c>
      <c r="J27" s="5">
        <v>30.231680000000001</v>
      </c>
      <c r="K27" s="5">
        <v>30.3447</v>
      </c>
      <c r="L27" s="5">
        <v>31.47485</v>
      </c>
      <c r="M27" s="5">
        <v>96.365470000000002</v>
      </c>
      <c r="N27" s="5">
        <v>97.476020000000005</v>
      </c>
      <c r="O27" s="5">
        <v>99.596159999999998</v>
      </c>
    </row>
    <row r="28" spans="1:29" x14ac:dyDescent="0.2">
      <c r="A28" s="5">
        <v>500</v>
      </c>
      <c r="B28" s="5">
        <v>10.69206</v>
      </c>
      <c r="C28" s="5">
        <v>12.276070000000001</v>
      </c>
      <c r="D28" s="5">
        <v>12.04978</v>
      </c>
      <c r="E28" s="5">
        <v>100.1377</v>
      </c>
      <c r="F28" s="5">
        <v>97.555520000000001</v>
      </c>
      <c r="G28" s="5">
        <v>96.729209999999995</v>
      </c>
      <c r="H28" s="5"/>
      <c r="I28" s="5">
        <v>500</v>
      </c>
      <c r="J28" s="5">
        <v>14.070449999999999</v>
      </c>
      <c r="K28" s="5">
        <v>14.74854</v>
      </c>
      <c r="L28" s="5">
        <v>13.731400000000001</v>
      </c>
      <c r="M28" s="5">
        <v>99.899039999999999</v>
      </c>
      <c r="N28" s="5">
        <v>97.576980000000006</v>
      </c>
      <c r="O28" s="5">
        <v>97.778899999999993</v>
      </c>
    </row>
    <row r="31" spans="1:29" x14ac:dyDescent="0.2">
      <c r="A31" s="3" t="s">
        <v>45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2">
      <c r="A32" s="11" t="s">
        <v>33</v>
      </c>
      <c r="B32" s="53" t="s">
        <v>25</v>
      </c>
      <c r="C32" s="53"/>
      <c r="D32" s="53"/>
      <c r="E32" s="53"/>
      <c r="F32" s="53" t="s">
        <v>27</v>
      </c>
      <c r="G32" s="53"/>
      <c r="H32" s="53"/>
      <c r="I32" s="53"/>
      <c r="J32" s="53" t="s">
        <v>44</v>
      </c>
      <c r="K32" s="53"/>
      <c r="L32" s="53"/>
      <c r="M32" s="53"/>
      <c r="N32" s="4"/>
      <c r="O32" s="4"/>
      <c r="P32" s="4"/>
      <c r="Q32" s="11" t="s">
        <v>32</v>
      </c>
      <c r="R32" s="53" t="s">
        <v>25</v>
      </c>
      <c r="S32" s="53"/>
      <c r="T32" s="53"/>
      <c r="U32" s="53"/>
      <c r="V32" s="53" t="s">
        <v>27</v>
      </c>
      <c r="W32" s="53"/>
      <c r="X32" s="53"/>
      <c r="Y32" s="53"/>
      <c r="Z32" s="53" t="s">
        <v>44</v>
      </c>
      <c r="AA32" s="53"/>
      <c r="AB32" s="53"/>
      <c r="AC32" s="53"/>
    </row>
    <row r="33" spans="1:29" x14ac:dyDescent="0.2">
      <c r="A33" s="5">
        <v>0.1</v>
      </c>
      <c r="B33" s="5">
        <v>94.110060000000004</v>
      </c>
      <c r="C33" s="5">
        <v>102.9665</v>
      </c>
      <c r="D33" s="5">
        <v>98.925190000000001</v>
      </c>
      <c r="E33" s="5">
        <v>103.9983</v>
      </c>
      <c r="F33" s="5">
        <v>100.8215</v>
      </c>
      <c r="G33" s="5">
        <v>101.36920000000001</v>
      </c>
      <c r="H33" s="5">
        <v>99.452299999999994</v>
      </c>
      <c r="I33" s="5">
        <v>98.356909999999999</v>
      </c>
      <c r="J33" s="5">
        <v>105.721</v>
      </c>
      <c r="K33" s="5">
        <v>104.5534</v>
      </c>
      <c r="L33" s="5">
        <v>103.6194</v>
      </c>
      <c r="M33" s="5">
        <v>86.106250000000003</v>
      </c>
      <c r="N33" s="4"/>
      <c r="O33" s="4"/>
      <c r="P33" s="4"/>
      <c r="Q33" s="5">
        <v>0.1</v>
      </c>
      <c r="R33" s="5">
        <v>93.972489999999993</v>
      </c>
      <c r="S33" s="5">
        <v>100.44499999999999</v>
      </c>
      <c r="T33" s="5">
        <v>101.73950000000001</v>
      </c>
      <c r="U33" s="5">
        <v>103.843</v>
      </c>
      <c r="V33" s="5">
        <v>102.7727</v>
      </c>
      <c r="W33" s="5">
        <v>99.453550000000007</v>
      </c>
      <c r="X33" s="5">
        <v>100.425</v>
      </c>
      <c r="Y33" s="5">
        <v>97.348709999999997</v>
      </c>
      <c r="Z33" s="5">
        <v>97.421859999999995</v>
      </c>
      <c r="AA33" s="5">
        <v>106.27419999999999</v>
      </c>
      <c r="AB33" s="5">
        <v>104.1752</v>
      </c>
      <c r="AC33" s="5">
        <v>92.128680000000003</v>
      </c>
    </row>
    <row r="34" spans="1:29" x14ac:dyDescent="0.2">
      <c r="A34" s="5">
        <v>1</v>
      </c>
      <c r="B34" s="5">
        <v>93.852109999999996</v>
      </c>
      <c r="C34" s="5">
        <v>100.4729</v>
      </c>
      <c r="D34" s="5">
        <v>104.25620000000001</v>
      </c>
      <c r="E34" s="5">
        <v>103.7403</v>
      </c>
      <c r="F34" s="5">
        <v>104.6554</v>
      </c>
      <c r="G34" s="5">
        <v>100.1324</v>
      </c>
      <c r="H34" s="5">
        <v>107.94159999999999</v>
      </c>
      <c r="I34" s="5">
        <v>105.93340000000001</v>
      </c>
      <c r="J34" s="5">
        <v>113.0765</v>
      </c>
      <c r="K34" s="5">
        <v>107.0461</v>
      </c>
      <c r="L34" s="5">
        <v>106.3456</v>
      </c>
      <c r="M34" s="5">
        <v>100.23350000000001</v>
      </c>
      <c r="N34" s="4"/>
      <c r="O34" s="4"/>
      <c r="P34" s="4"/>
      <c r="Q34" s="5">
        <v>1</v>
      </c>
      <c r="R34" s="5">
        <v>99.393199999999993</v>
      </c>
      <c r="S34" s="5">
        <v>100.28319999999999</v>
      </c>
      <c r="T34" s="5">
        <v>99.555019999999999</v>
      </c>
      <c r="U34" s="5">
        <v>106.7557</v>
      </c>
      <c r="V34" s="5">
        <v>99.453550000000007</v>
      </c>
      <c r="W34" s="5">
        <v>99.291640000000001</v>
      </c>
      <c r="X34" s="5">
        <v>102.8537</v>
      </c>
      <c r="Y34" s="5">
        <v>98.239220000000003</v>
      </c>
      <c r="Z34" s="5">
        <v>112.2975</v>
      </c>
      <c r="AA34" s="5">
        <v>110.65479999999999</v>
      </c>
      <c r="AB34" s="5">
        <v>106.9131</v>
      </c>
      <c r="AC34" s="5">
        <v>94.227699999999999</v>
      </c>
    </row>
    <row r="35" spans="1:29" x14ac:dyDescent="0.2">
      <c r="A35" s="5">
        <v>10</v>
      </c>
      <c r="B35" s="5">
        <v>88.435079999999999</v>
      </c>
      <c r="C35" s="5">
        <v>104.6862</v>
      </c>
      <c r="D35" s="5">
        <v>108.55549999999999</v>
      </c>
      <c r="E35" s="5">
        <v>108.03959999999999</v>
      </c>
      <c r="F35" s="5">
        <v>102.4144</v>
      </c>
      <c r="G35" s="5">
        <v>103.1447</v>
      </c>
      <c r="H35" s="5">
        <v>101.319</v>
      </c>
      <c r="I35" s="5">
        <v>105.2944</v>
      </c>
      <c r="J35" s="5">
        <v>101.7163</v>
      </c>
      <c r="K35" s="5">
        <v>109.84820000000001</v>
      </c>
      <c r="L35" s="5">
        <v>104.3608</v>
      </c>
      <c r="M35" s="5">
        <v>105.48739999999999</v>
      </c>
      <c r="N35" s="4"/>
      <c r="O35" s="4"/>
      <c r="P35" s="4"/>
      <c r="Q35" s="5">
        <v>10</v>
      </c>
      <c r="R35" s="5">
        <v>90.331720000000004</v>
      </c>
      <c r="S35" s="5">
        <v>95.024270000000001</v>
      </c>
      <c r="T35" s="5">
        <v>102.79130000000001</v>
      </c>
      <c r="U35" s="5">
        <v>102.3867</v>
      </c>
      <c r="V35" s="5">
        <v>100.425</v>
      </c>
      <c r="W35" s="5">
        <v>102.0441</v>
      </c>
      <c r="X35" s="5">
        <v>103.4204</v>
      </c>
      <c r="Y35" s="5">
        <v>98.482089999999999</v>
      </c>
      <c r="Z35" s="5">
        <v>115.3091</v>
      </c>
      <c r="AA35" s="5">
        <v>111.2936</v>
      </c>
      <c r="AB35" s="5">
        <v>107.73439999999999</v>
      </c>
      <c r="AC35" s="5">
        <v>89.025779999999997</v>
      </c>
    </row>
    <row r="36" spans="1:29" x14ac:dyDescent="0.2">
      <c r="A36" s="5">
        <v>100</v>
      </c>
      <c r="B36" s="5">
        <v>83.963890000000006</v>
      </c>
      <c r="C36" s="5">
        <v>95.485810000000001</v>
      </c>
      <c r="D36" s="5">
        <v>100.8169</v>
      </c>
      <c r="E36" s="5">
        <v>98.925190000000001</v>
      </c>
      <c r="F36" s="5">
        <v>14.46828</v>
      </c>
      <c r="G36" s="5">
        <v>12.825189999999999</v>
      </c>
      <c r="H36" s="5">
        <v>13.19032</v>
      </c>
      <c r="I36" s="5">
        <v>12.2775</v>
      </c>
      <c r="J36" s="5">
        <v>16.287220000000001</v>
      </c>
      <c r="K36" s="5">
        <v>16.170459999999999</v>
      </c>
      <c r="L36" s="5">
        <v>19.32283</v>
      </c>
      <c r="M36" s="5">
        <v>15.703440000000001</v>
      </c>
      <c r="N36" s="4"/>
      <c r="O36" s="4"/>
      <c r="P36" s="4"/>
      <c r="Q36" s="5">
        <v>100</v>
      </c>
      <c r="R36" s="5">
        <v>87.338189999999997</v>
      </c>
      <c r="S36" s="5">
        <v>88.14725</v>
      </c>
      <c r="T36" s="5">
        <v>94.781549999999996</v>
      </c>
      <c r="U36" s="5">
        <v>98.179609999999997</v>
      </c>
      <c r="V36" s="5">
        <v>17.769680000000001</v>
      </c>
      <c r="W36" s="5">
        <v>12.58854</v>
      </c>
      <c r="X36" s="5">
        <v>14.85529</v>
      </c>
      <c r="Y36" s="5">
        <v>12.75046</v>
      </c>
      <c r="Z36" s="5">
        <v>37.2804</v>
      </c>
      <c r="AA36" s="5">
        <v>37.554189999999998</v>
      </c>
      <c r="AB36" s="5">
        <v>39.196899999999999</v>
      </c>
      <c r="AC36" s="5">
        <v>29.614419999999999</v>
      </c>
    </row>
    <row r="37" spans="1:29" x14ac:dyDescent="0.2">
      <c r="A37" s="5">
        <v>200</v>
      </c>
      <c r="B37" s="5">
        <v>78.718829999999997</v>
      </c>
      <c r="C37" s="5">
        <v>81.298370000000006</v>
      </c>
      <c r="D37" s="5">
        <v>77.944969999999998</v>
      </c>
      <c r="E37" s="5">
        <v>83.104039999999998</v>
      </c>
      <c r="F37" s="5">
        <v>13.09904</v>
      </c>
      <c r="G37" s="5">
        <v>12.64263</v>
      </c>
      <c r="H37" s="5">
        <v>12.91648</v>
      </c>
      <c r="I37" s="5">
        <v>12.18622</v>
      </c>
      <c r="J37" s="5">
        <v>16.053709999999999</v>
      </c>
      <c r="K37" s="5">
        <v>15.703440000000001</v>
      </c>
      <c r="L37" s="5">
        <v>16.403970000000001</v>
      </c>
      <c r="M37" s="5">
        <v>14.769410000000001</v>
      </c>
      <c r="N37" s="4"/>
      <c r="O37" s="4"/>
      <c r="P37" s="4"/>
      <c r="Q37" s="5">
        <v>200</v>
      </c>
      <c r="R37" s="5">
        <v>83.131069999999994</v>
      </c>
      <c r="S37" s="5">
        <v>75.687700000000007</v>
      </c>
      <c r="T37" s="5">
        <v>81.027510000000007</v>
      </c>
      <c r="U37" s="5">
        <v>85.881879999999995</v>
      </c>
      <c r="V37" s="5">
        <v>10.48371</v>
      </c>
      <c r="W37" s="5">
        <v>9.1884230000000002</v>
      </c>
      <c r="X37" s="5">
        <v>8.4598259999999996</v>
      </c>
      <c r="Y37" s="5">
        <v>8.9455580000000001</v>
      </c>
      <c r="Z37" s="5">
        <v>11.544600000000001</v>
      </c>
      <c r="AA37" s="5">
        <v>11.362080000000001</v>
      </c>
      <c r="AB37" s="5">
        <v>13.09605</v>
      </c>
      <c r="AC37" s="5">
        <v>14.099930000000001</v>
      </c>
    </row>
    <row r="38" spans="1:29" x14ac:dyDescent="0.2">
      <c r="A38" s="5">
        <v>500</v>
      </c>
      <c r="B38" s="5">
        <v>71.582120000000003</v>
      </c>
      <c r="C38" s="5">
        <v>72.184010000000001</v>
      </c>
      <c r="D38" s="5">
        <v>56.620809999999999</v>
      </c>
      <c r="E38" s="5">
        <v>56.190890000000003</v>
      </c>
      <c r="F38" s="5">
        <v>11.912369999999999</v>
      </c>
      <c r="G38" s="5">
        <v>13.281610000000001</v>
      </c>
      <c r="H38" s="5">
        <v>11.455959999999999</v>
      </c>
      <c r="I38" s="5">
        <v>11.82109</v>
      </c>
      <c r="J38" s="5">
        <v>17.338000000000001</v>
      </c>
      <c r="K38" s="5">
        <v>15.703440000000001</v>
      </c>
      <c r="L38" s="5">
        <v>19.906600000000001</v>
      </c>
      <c r="M38" s="5">
        <v>19.439579999999999</v>
      </c>
      <c r="N38" s="4"/>
      <c r="O38" s="4"/>
      <c r="P38" s="4"/>
      <c r="Q38" s="5">
        <v>500</v>
      </c>
      <c r="R38" s="5">
        <v>51.173139999999997</v>
      </c>
      <c r="S38" s="5">
        <v>49.231389999999998</v>
      </c>
      <c r="T38" s="5">
        <v>44.134300000000003</v>
      </c>
      <c r="U38" s="5">
        <v>45.024270000000001</v>
      </c>
      <c r="V38" s="5">
        <v>9.2693790000000007</v>
      </c>
      <c r="W38" s="5">
        <v>8.6217360000000003</v>
      </c>
      <c r="X38" s="5">
        <v>8.0550499999999996</v>
      </c>
      <c r="Y38" s="5">
        <v>7.8121840000000002</v>
      </c>
      <c r="Z38" s="5">
        <v>9.6281090000000003</v>
      </c>
      <c r="AA38" s="5">
        <v>9.810632</v>
      </c>
      <c r="AB38" s="5">
        <v>9.4455849999999995</v>
      </c>
      <c r="AC38" s="5">
        <v>10.08442</v>
      </c>
    </row>
    <row r="41" spans="1:29" x14ac:dyDescent="0.2">
      <c r="A41" s="3" t="s">
        <v>43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29" x14ac:dyDescent="0.2">
      <c r="A42" s="11"/>
      <c r="B42" s="53" t="s">
        <v>0</v>
      </c>
      <c r="C42" s="53"/>
      <c r="D42" s="53"/>
      <c r="E42" s="53" t="s">
        <v>40</v>
      </c>
      <c r="F42" s="53"/>
      <c r="G42" s="53"/>
      <c r="H42" s="53" t="s">
        <v>41</v>
      </c>
      <c r="I42" s="53"/>
      <c r="J42" s="53"/>
      <c r="K42" s="53" t="s">
        <v>42</v>
      </c>
      <c r="L42" s="53"/>
      <c r="M42" s="53"/>
    </row>
    <row r="43" spans="1:29" x14ac:dyDescent="0.2">
      <c r="A43" s="8">
        <v>0</v>
      </c>
      <c r="B43" s="5">
        <v>99.885059999999996</v>
      </c>
      <c r="C43" s="5">
        <v>96.551720000000003</v>
      </c>
      <c r="D43" s="5">
        <v>103.56319999999999</v>
      </c>
      <c r="E43" s="5">
        <v>102.88720000000001</v>
      </c>
      <c r="F43" s="5">
        <v>98.088179999999994</v>
      </c>
      <c r="G43" s="5">
        <v>99.02458</v>
      </c>
      <c r="H43" s="5">
        <v>100.0386</v>
      </c>
      <c r="I43" s="5">
        <v>100.5017</v>
      </c>
      <c r="J43" s="5">
        <v>99.459670000000003</v>
      </c>
      <c r="K43" s="5">
        <v>100.5453</v>
      </c>
      <c r="L43" s="5">
        <v>101.8539</v>
      </c>
      <c r="M43" s="5">
        <v>97.60087</v>
      </c>
    </row>
    <row r="44" spans="1:29" x14ac:dyDescent="0.2">
      <c r="A44" s="8">
        <v>0.5</v>
      </c>
      <c r="B44" s="5">
        <v>69.310339999999997</v>
      </c>
      <c r="C44" s="5">
        <v>73.448279999999997</v>
      </c>
      <c r="D44" s="5">
        <v>82.988510000000005</v>
      </c>
      <c r="E44" s="5">
        <v>96.215369999999993</v>
      </c>
      <c r="F44" s="5">
        <v>98.439329999999998</v>
      </c>
      <c r="G44" s="5">
        <v>93.40616</v>
      </c>
      <c r="H44" s="5">
        <v>86.607489999999999</v>
      </c>
      <c r="I44" s="5">
        <v>80.355080000000001</v>
      </c>
      <c r="J44" s="5">
        <v>80.818219999999997</v>
      </c>
      <c r="K44" s="5">
        <v>96.619410000000002</v>
      </c>
      <c r="L44" s="5">
        <v>93.893129999999999</v>
      </c>
      <c r="M44" s="5">
        <v>79.934569999999994</v>
      </c>
    </row>
    <row r="45" spans="1:29" x14ac:dyDescent="0.2">
      <c r="A45" s="8">
        <v>1</v>
      </c>
      <c r="B45" s="5">
        <v>46.666670000000003</v>
      </c>
      <c r="C45" s="5">
        <v>49.425289999999997</v>
      </c>
      <c r="D45" s="5">
        <v>44.827590000000001</v>
      </c>
      <c r="E45" s="5">
        <v>88.490049999999997</v>
      </c>
      <c r="F45" s="5">
        <v>89.192350000000005</v>
      </c>
      <c r="G45" s="5">
        <v>88.958250000000007</v>
      </c>
      <c r="H45" s="5">
        <v>75.028949999999995</v>
      </c>
      <c r="I45" s="5">
        <v>73.40795</v>
      </c>
      <c r="J45" s="5">
        <v>68.544960000000003</v>
      </c>
      <c r="K45" s="5">
        <v>82.769900000000007</v>
      </c>
      <c r="L45" s="5">
        <v>81.570340000000002</v>
      </c>
      <c r="M45" s="5">
        <v>55.179929999999999</v>
      </c>
    </row>
    <row r="46" spans="1:29" x14ac:dyDescent="0.2">
      <c r="A46" s="8">
        <v>2</v>
      </c>
      <c r="B46" s="5">
        <v>20.459769999999999</v>
      </c>
      <c r="C46" s="5">
        <v>15.517239999999999</v>
      </c>
      <c r="D46" s="5">
        <v>13.793100000000001</v>
      </c>
      <c r="E46" s="5">
        <v>58.056959999999997</v>
      </c>
      <c r="F46" s="5">
        <v>60.280920000000002</v>
      </c>
      <c r="G46" s="5">
        <v>65.314089999999993</v>
      </c>
      <c r="H46" s="5">
        <v>43.07217</v>
      </c>
      <c r="I46" s="5">
        <v>37.746040000000001</v>
      </c>
      <c r="J46" s="5">
        <v>36.356619999999999</v>
      </c>
      <c r="K46" s="5">
        <v>49.618319999999997</v>
      </c>
      <c r="L46" s="5">
        <v>42.311889999999998</v>
      </c>
      <c r="M46" s="5">
        <v>20.392579999999999</v>
      </c>
    </row>
    <row r="47" spans="1:29" x14ac:dyDescent="0.2">
      <c r="A47" s="8">
        <v>3</v>
      </c>
      <c r="B47" s="5">
        <v>8.9655170000000002</v>
      </c>
      <c r="C47" s="5">
        <v>7.5862069999999999</v>
      </c>
      <c r="D47" s="5">
        <v>8.1609200000000008</v>
      </c>
      <c r="E47" s="5">
        <v>31.018339999999998</v>
      </c>
      <c r="F47" s="5">
        <v>33.008189999999999</v>
      </c>
      <c r="G47" s="5">
        <v>36.987900000000003</v>
      </c>
      <c r="H47" s="5">
        <v>21.651869999999999</v>
      </c>
      <c r="I47" s="5">
        <v>21.18873</v>
      </c>
      <c r="J47" s="5">
        <v>18.757239999999999</v>
      </c>
      <c r="K47" s="5">
        <v>23.66412</v>
      </c>
      <c r="L47" s="5">
        <v>21.155940000000001</v>
      </c>
      <c r="M47" s="5">
        <v>9.3784080000000003</v>
      </c>
    </row>
    <row r="50" spans="1:28" x14ac:dyDescent="0.2">
      <c r="A50" s="3" t="s">
        <v>53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t="s">
        <v>400</v>
      </c>
      <c r="O50" s="3" t="s">
        <v>56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t="s">
        <v>400</v>
      </c>
    </row>
    <row r="51" spans="1:28" x14ac:dyDescent="0.2">
      <c r="A51" s="11"/>
      <c r="B51" s="53" t="s">
        <v>49</v>
      </c>
      <c r="C51" s="53"/>
      <c r="D51" s="53"/>
      <c r="E51" s="53" t="s">
        <v>50</v>
      </c>
      <c r="F51" s="53"/>
      <c r="G51" s="53"/>
      <c r="H51" s="53" t="s">
        <v>51</v>
      </c>
      <c r="I51" s="53"/>
      <c r="J51" s="53"/>
      <c r="K51" s="53" t="s">
        <v>52</v>
      </c>
      <c r="L51" s="53"/>
      <c r="M51" s="53"/>
      <c r="N51" t="s">
        <v>391</v>
      </c>
      <c r="O51" s="4"/>
      <c r="P51" s="53" t="s">
        <v>49</v>
      </c>
      <c r="Q51" s="53"/>
      <c r="R51" s="53"/>
      <c r="S51" s="53" t="s">
        <v>50</v>
      </c>
      <c r="T51" s="53"/>
      <c r="U51" s="53"/>
      <c r="V51" s="53" t="s">
        <v>54</v>
      </c>
      <c r="W51" s="53"/>
      <c r="X51" s="53"/>
      <c r="Y51" s="53" t="s">
        <v>55</v>
      </c>
      <c r="Z51" s="53"/>
      <c r="AA51" s="53"/>
      <c r="AB51" t="s">
        <v>391</v>
      </c>
    </row>
    <row r="52" spans="1:28" x14ac:dyDescent="0.2">
      <c r="A52" s="8">
        <v>0</v>
      </c>
      <c r="B52" s="5">
        <v>102.625</v>
      </c>
      <c r="C52" s="5">
        <v>100.27930000000001</v>
      </c>
      <c r="D52" s="5">
        <v>97.095780000000005</v>
      </c>
      <c r="E52" s="5">
        <v>100.62479999999999</v>
      </c>
      <c r="F52" s="5">
        <v>99.772790000000001</v>
      </c>
      <c r="G52" s="5">
        <v>99.60239</v>
      </c>
      <c r="H52" s="5">
        <v>101.0312</v>
      </c>
      <c r="I52" s="5">
        <v>97.449119999999994</v>
      </c>
      <c r="J52" s="5">
        <v>101.5197</v>
      </c>
      <c r="K52" s="5">
        <v>91.439930000000004</v>
      </c>
      <c r="L52" s="5">
        <v>92.723939999999999</v>
      </c>
      <c r="M52" s="5">
        <v>115.8361</v>
      </c>
      <c r="N52">
        <v>0.99999800000000005</v>
      </c>
      <c r="O52" s="8">
        <v>0</v>
      </c>
      <c r="P52" s="5">
        <v>105.98220000000001</v>
      </c>
      <c r="Q52" s="5">
        <v>102.5869</v>
      </c>
      <c r="R52" s="5">
        <v>91.430880000000002</v>
      </c>
      <c r="S52" s="5">
        <v>102.9757</v>
      </c>
      <c r="T52" s="5">
        <v>96.867660000000001</v>
      </c>
      <c r="U52" s="5">
        <v>100.1566</v>
      </c>
      <c r="V52" s="5">
        <v>105.55719999999999</v>
      </c>
      <c r="W52" s="5">
        <v>102.1142</v>
      </c>
      <c r="X52" s="5">
        <v>92.328599999999994</v>
      </c>
      <c r="Y52" s="5">
        <v>93.353059999999999</v>
      </c>
      <c r="Z52" s="5">
        <v>106.8746</v>
      </c>
      <c r="AA52" s="5">
        <v>99.772369999999995</v>
      </c>
      <c r="AB52">
        <v>0.99999899999999997</v>
      </c>
    </row>
    <row r="53" spans="1:28" x14ac:dyDescent="0.2">
      <c r="A53" s="8">
        <v>0.1</v>
      </c>
      <c r="B53" s="5">
        <v>97.765990000000002</v>
      </c>
      <c r="C53" s="5">
        <v>87.880480000000006</v>
      </c>
      <c r="D53" s="5">
        <v>87.545379999999994</v>
      </c>
      <c r="E53" s="5">
        <v>95.001419999999996</v>
      </c>
      <c r="F53" s="5">
        <v>93.297359999999998</v>
      </c>
      <c r="G53" s="5">
        <v>83.584209999999999</v>
      </c>
      <c r="H53" s="5">
        <v>79.213030000000003</v>
      </c>
      <c r="I53" s="5">
        <v>81.329719999999995</v>
      </c>
      <c r="J53" s="5">
        <v>70.583449999999999</v>
      </c>
      <c r="K53" s="5">
        <v>82.451849999999993</v>
      </c>
      <c r="L53" s="5">
        <v>84.102720000000005</v>
      </c>
      <c r="M53" s="5">
        <v>82.818709999999996</v>
      </c>
      <c r="N53">
        <v>0.14130000000000001</v>
      </c>
      <c r="O53" s="8">
        <v>0.1</v>
      </c>
      <c r="P53" s="5">
        <v>93.209379999999996</v>
      </c>
      <c r="Q53" s="5">
        <v>92.077610000000007</v>
      </c>
      <c r="R53" s="5">
        <v>86.74212</v>
      </c>
      <c r="S53" s="5">
        <v>99.843379999999996</v>
      </c>
      <c r="T53" s="5">
        <v>87.314019999999999</v>
      </c>
      <c r="U53" s="5">
        <v>95.614720000000005</v>
      </c>
      <c r="V53" s="5">
        <v>53.186349999999997</v>
      </c>
      <c r="W53" s="5">
        <v>53.186349999999997</v>
      </c>
      <c r="X53" s="5">
        <v>49.562069999999999</v>
      </c>
      <c r="Y53" s="5">
        <v>73.41225</v>
      </c>
      <c r="Z53" s="5">
        <v>70.544049999999999</v>
      </c>
      <c r="AA53" s="5">
        <v>72.046440000000004</v>
      </c>
      <c r="AB53">
        <v>1.66E-4</v>
      </c>
    </row>
    <row r="54" spans="1:28" x14ac:dyDescent="0.2">
      <c r="A54" s="8">
        <v>0.2</v>
      </c>
      <c r="B54" s="5">
        <v>74.811509999999998</v>
      </c>
      <c r="C54" s="5">
        <v>71.628039999999999</v>
      </c>
      <c r="D54" s="5">
        <v>68.612120000000004</v>
      </c>
      <c r="E54" s="5">
        <v>81.028120000000001</v>
      </c>
      <c r="F54" s="5">
        <v>82.220960000000005</v>
      </c>
      <c r="G54" s="5">
        <v>79.494460000000004</v>
      </c>
      <c r="H54" s="5">
        <v>41.275440000000003</v>
      </c>
      <c r="I54" s="5">
        <v>43.880600000000001</v>
      </c>
      <c r="J54" s="5">
        <v>31.99457</v>
      </c>
      <c r="K54" s="5">
        <v>49.617849999999997</v>
      </c>
      <c r="L54" s="5">
        <v>50.351570000000002</v>
      </c>
      <c r="M54" s="5">
        <v>47.96698</v>
      </c>
      <c r="N54">
        <v>4.9207000000000001E-2</v>
      </c>
      <c r="O54" s="8">
        <v>0.2</v>
      </c>
      <c r="P54" s="5">
        <v>71.867419999999996</v>
      </c>
      <c r="Q54" s="5">
        <v>67.987070000000003</v>
      </c>
      <c r="R54" s="5">
        <v>65.723519999999994</v>
      </c>
      <c r="S54" s="5">
        <v>76.664060000000006</v>
      </c>
      <c r="T54" s="5">
        <v>76.664060000000006</v>
      </c>
      <c r="U54" s="5">
        <v>76.664060000000006</v>
      </c>
      <c r="V54" s="5">
        <v>14.40652</v>
      </c>
      <c r="W54" s="5">
        <v>16.39988</v>
      </c>
      <c r="X54" s="5">
        <v>13.319240000000001</v>
      </c>
      <c r="Y54" s="5">
        <v>41.862050000000004</v>
      </c>
      <c r="Z54" s="5">
        <v>41.725470000000001</v>
      </c>
      <c r="AA54" s="5">
        <v>30.935580000000002</v>
      </c>
      <c r="AB54">
        <v>3.2620000000000001E-3</v>
      </c>
    </row>
    <row r="55" spans="1:28" x14ac:dyDescent="0.2">
      <c r="A55" s="8">
        <v>0.4</v>
      </c>
      <c r="B55" s="5">
        <v>41.636409999999998</v>
      </c>
      <c r="C55" s="5">
        <v>41.971519999999998</v>
      </c>
      <c r="D55" s="5">
        <v>34.934379999999997</v>
      </c>
      <c r="E55" s="5">
        <v>57.852879999999999</v>
      </c>
      <c r="F55" s="5">
        <v>57.00085</v>
      </c>
      <c r="G55" s="5">
        <v>66.202780000000004</v>
      </c>
      <c r="H55" s="5">
        <v>21.2483</v>
      </c>
      <c r="I55" s="5">
        <v>16.36364</v>
      </c>
      <c r="J55" s="5">
        <v>16.037990000000001</v>
      </c>
      <c r="K55" s="5">
        <v>32.008560000000003</v>
      </c>
      <c r="L55" s="5">
        <v>35.677160000000001</v>
      </c>
      <c r="M55" s="5">
        <v>25.588509999999999</v>
      </c>
      <c r="N55">
        <v>1.7697999999999998E-2</v>
      </c>
      <c r="O55" s="8">
        <v>0.4</v>
      </c>
      <c r="P55" s="5">
        <v>38.722720000000002</v>
      </c>
      <c r="Q55" s="5">
        <v>35.650770000000001</v>
      </c>
      <c r="R55" s="5">
        <v>37.752630000000003</v>
      </c>
      <c r="S55" s="5">
        <v>47.376660000000001</v>
      </c>
      <c r="T55" s="5">
        <v>50.195770000000003</v>
      </c>
      <c r="U55" s="5">
        <v>54.894280000000002</v>
      </c>
      <c r="V55" s="5">
        <v>9.8761700000000001</v>
      </c>
      <c r="W55" s="5">
        <v>7.5203870000000004</v>
      </c>
      <c r="X55" s="5">
        <v>7.8828149999999999</v>
      </c>
      <c r="Y55" s="5">
        <v>25.0626</v>
      </c>
      <c r="Z55" s="5">
        <v>21.238330000000001</v>
      </c>
      <c r="AA55" s="5">
        <v>22.194400000000002</v>
      </c>
      <c r="AB55">
        <v>4.5300000000000001E-4</v>
      </c>
    </row>
  </sheetData>
  <mergeCells count="31">
    <mergeCell ref="V51:X51"/>
    <mergeCell ref="Y51:AA51"/>
    <mergeCell ref="B51:D51"/>
    <mergeCell ref="E51:G51"/>
    <mergeCell ref="H51:J51"/>
    <mergeCell ref="K51:M51"/>
    <mergeCell ref="P51:R51"/>
    <mergeCell ref="S51:U51"/>
    <mergeCell ref="T2:W2"/>
    <mergeCell ref="X2:AA2"/>
    <mergeCell ref="R32:U32"/>
    <mergeCell ref="V32:Y32"/>
    <mergeCell ref="Z32:AC32"/>
    <mergeCell ref="J22:L22"/>
    <mergeCell ref="M22:O22"/>
    <mergeCell ref="B22:D22"/>
    <mergeCell ref="E22:G22"/>
    <mergeCell ref="P2:S2"/>
    <mergeCell ref="B2:E2"/>
    <mergeCell ref="F2:I2"/>
    <mergeCell ref="J2:M2"/>
    <mergeCell ref="B12:E12"/>
    <mergeCell ref="F12:I12"/>
    <mergeCell ref="J12:M12"/>
    <mergeCell ref="B42:D42"/>
    <mergeCell ref="E42:G42"/>
    <mergeCell ref="H42:J42"/>
    <mergeCell ref="K42:M42"/>
    <mergeCell ref="B32:E32"/>
    <mergeCell ref="F32:I32"/>
    <mergeCell ref="J32:M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32"/>
  <sheetViews>
    <sheetView topLeftCell="E5" zoomScale="88" workbookViewId="0">
      <selection activeCell="L8" sqref="L8"/>
    </sheetView>
  </sheetViews>
  <sheetFormatPr baseColWidth="10" defaultColWidth="8.83203125" defaultRowHeight="15" x14ac:dyDescent="0.2"/>
  <cols>
    <col min="16" max="16" width="10.1640625" customWidth="1"/>
  </cols>
  <sheetData>
    <row r="1" spans="1:27" x14ac:dyDescent="0.2">
      <c r="A1" s="3" t="s">
        <v>64</v>
      </c>
      <c r="B1" s="4"/>
      <c r="C1" s="4"/>
      <c r="D1" s="4"/>
      <c r="E1" s="4"/>
      <c r="F1" s="4"/>
      <c r="G1" s="4"/>
      <c r="H1" s="4"/>
      <c r="I1" s="4"/>
      <c r="J1" s="4"/>
      <c r="K1" s="4"/>
      <c r="N1" s="4"/>
      <c r="O1" s="4"/>
      <c r="P1" s="4"/>
      <c r="Q1" s="4"/>
      <c r="R1" s="4"/>
      <c r="S1" s="4"/>
      <c r="T1" s="4"/>
      <c r="U1" s="4"/>
    </row>
    <row r="2" spans="1:27" x14ac:dyDescent="0.2">
      <c r="A2" s="4"/>
      <c r="B2" s="58" t="s">
        <v>6</v>
      </c>
      <c r="C2" s="58"/>
      <c r="D2" s="58"/>
      <c r="E2" s="58"/>
      <c r="F2" s="58"/>
      <c r="G2" s="58"/>
      <c r="H2" s="58"/>
      <c r="I2" s="58"/>
      <c r="J2" s="58"/>
      <c r="K2" s="4"/>
      <c r="L2" s="4" t="s">
        <v>402</v>
      </c>
      <c r="M2" s="4" t="s">
        <v>403</v>
      </c>
      <c r="O2" s="4"/>
      <c r="P2" s="58" t="s">
        <v>63</v>
      </c>
      <c r="Q2" s="58"/>
      <c r="R2" s="58"/>
      <c r="S2" s="58"/>
      <c r="T2" s="58"/>
      <c r="U2" s="58"/>
      <c r="V2" s="58"/>
      <c r="W2" s="58"/>
      <c r="X2" s="58"/>
      <c r="Z2" s="4" t="s">
        <v>402</v>
      </c>
      <c r="AA2" s="4" t="s">
        <v>403</v>
      </c>
    </row>
    <row r="3" spans="1:27" x14ac:dyDescent="0.2">
      <c r="A3" s="4"/>
      <c r="B3" s="60" t="s">
        <v>61</v>
      </c>
      <c r="C3" s="60"/>
      <c r="D3" s="60"/>
      <c r="E3" s="53" t="s">
        <v>60</v>
      </c>
      <c r="F3" s="53"/>
      <c r="G3" s="53"/>
      <c r="H3" s="60" t="s">
        <v>62</v>
      </c>
      <c r="I3" s="60"/>
      <c r="J3" s="60"/>
      <c r="K3" s="4"/>
      <c r="L3" t="s">
        <v>401</v>
      </c>
      <c r="M3" t="s">
        <v>401</v>
      </c>
      <c r="O3" s="11"/>
      <c r="P3" s="60" t="s">
        <v>61</v>
      </c>
      <c r="Q3" s="60"/>
      <c r="R3" s="60"/>
      <c r="S3" s="53" t="s">
        <v>60</v>
      </c>
      <c r="T3" s="53"/>
      <c r="U3" s="53"/>
      <c r="V3" s="60" t="s">
        <v>62</v>
      </c>
      <c r="W3" s="60"/>
      <c r="X3" s="60"/>
      <c r="Z3" t="s">
        <v>401</v>
      </c>
      <c r="AA3" t="s">
        <v>401</v>
      </c>
    </row>
    <row r="4" spans="1:27" x14ac:dyDescent="0.2">
      <c r="A4" s="8">
        <v>2</v>
      </c>
      <c r="B4" s="5">
        <v>1</v>
      </c>
      <c r="C4" s="5">
        <v>0.98623269999999996</v>
      </c>
      <c r="D4" s="5">
        <v>1</v>
      </c>
      <c r="E4" s="5">
        <v>2.0420242499999999</v>
      </c>
      <c r="F4" s="5">
        <v>1.60213976</v>
      </c>
      <c r="G4" s="5">
        <v>1.47426922</v>
      </c>
      <c r="H4" s="5">
        <v>0.57434918000000001</v>
      </c>
      <c r="I4" s="5">
        <v>1.07177346</v>
      </c>
      <c r="J4" s="5">
        <v>0.68302012999999995</v>
      </c>
      <c r="K4" s="4"/>
      <c r="L4">
        <v>1.4470999999999999E-2</v>
      </c>
      <c r="M4">
        <v>0.22067600000000001</v>
      </c>
      <c r="O4" s="8">
        <v>2</v>
      </c>
      <c r="P4" s="5">
        <v>1</v>
      </c>
      <c r="Q4" s="5">
        <v>1.0352649199999999</v>
      </c>
      <c r="R4" s="5">
        <v>0.95263799999999998</v>
      </c>
      <c r="S4" s="5">
        <v>1.4439291999999999</v>
      </c>
      <c r="T4" s="5">
        <v>1.8025009299999999</v>
      </c>
      <c r="U4" s="5">
        <v>1.64718203</v>
      </c>
      <c r="V4" s="5">
        <v>2.44528056</v>
      </c>
      <c r="W4" s="5">
        <v>3.5801002799999999</v>
      </c>
      <c r="X4" s="5">
        <v>4.1698630400000001</v>
      </c>
      <c r="Z4">
        <v>3.973E-3</v>
      </c>
      <c r="AA4">
        <v>9.0240000000000008E-3</v>
      </c>
    </row>
    <row r="5" spans="1:27" x14ac:dyDescent="0.2">
      <c r="A5" s="8">
        <v>4</v>
      </c>
      <c r="B5" s="5">
        <v>34.059845799999998</v>
      </c>
      <c r="C5" s="5">
        <v>25.634236099999999</v>
      </c>
      <c r="D5" s="5">
        <v>25.634236099999999</v>
      </c>
      <c r="E5" s="5">
        <v>34.775515599999999</v>
      </c>
      <c r="F5" s="5">
        <v>38.585850499999999</v>
      </c>
      <c r="G5" s="5">
        <v>18.8958826</v>
      </c>
      <c r="H5" s="5">
        <v>17.029922899999999</v>
      </c>
      <c r="I5" s="5">
        <v>14.825409000000001</v>
      </c>
      <c r="J5" s="5">
        <v>17.508699199999999</v>
      </c>
      <c r="K5" s="4"/>
      <c r="L5">
        <v>0.74591300000000005</v>
      </c>
      <c r="M5">
        <v>1.4914999999999999E-2</v>
      </c>
      <c r="O5" s="8">
        <v>4</v>
      </c>
      <c r="P5" s="5">
        <v>8.3397260899999992</v>
      </c>
      <c r="Q5" s="5">
        <v>5.6177795000000001</v>
      </c>
      <c r="R5" s="5">
        <v>7.0616239700000003</v>
      </c>
      <c r="S5" s="5">
        <v>43.411338499999999</v>
      </c>
      <c r="T5" s="5">
        <v>46.8507423</v>
      </c>
      <c r="U5" s="5">
        <v>41.642939400000003</v>
      </c>
      <c r="V5" s="5">
        <v>29.8570557</v>
      </c>
      <c r="W5" s="5">
        <v>30.273844700000001</v>
      </c>
      <c r="X5" s="5">
        <v>36.252284299999999</v>
      </c>
      <c r="Z5">
        <v>2.8E-5</v>
      </c>
      <c r="AA5">
        <v>3.4200000000000002E-4</v>
      </c>
    </row>
    <row r="6" spans="1:27" x14ac:dyDescent="0.2">
      <c r="A6" s="8">
        <v>6</v>
      </c>
      <c r="B6" s="5">
        <v>39.946577599999998</v>
      </c>
      <c r="C6" s="5">
        <v>67.181867800000006</v>
      </c>
      <c r="D6" s="5">
        <v>58.0812259</v>
      </c>
      <c r="E6" s="5">
        <v>38.319318500000001</v>
      </c>
      <c r="F6" s="5">
        <v>36.252284299999999</v>
      </c>
      <c r="G6" s="5">
        <v>34.535303599999999</v>
      </c>
      <c r="H6" s="5">
        <v>31.124958299999999</v>
      </c>
      <c r="I6" s="5">
        <v>35.753188399999999</v>
      </c>
      <c r="J6" s="5">
        <v>25.992076699999998</v>
      </c>
      <c r="K6" s="4"/>
      <c r="L6">
        <v>8.1615999999999994E-2</v>
      </c>
      <c r="M6">
        <v>4.6809999999999997E-2</v>
      </c>
      <c r="O6" s="8">
        <v>6</v>
      </c>
      <c r="P6" s="5">
        <v>25.106691099999999</v>
      </c>
      <c r="Q6" s="5">
        <v>44.017338199999998</v>
      </c>
      <c r="R6" s="5">
        <v>36.504438899999997</v>
      </c>
      <c r="S6" s="5">
        <v>18.252219499999999</v>
      </c>
      <c r="T6" s="5">
        <v>19.562244400000001</v>
      </c>
      <c r="U6" s="5">
        <v>17.387757799999999</v>
      </c>
      <c r="V6" s="5">
        <v>41.355290599999996</v>
      </c>
      <c r="W6" s="5">
        <v>44.323503000000002</v>
      </c>
      <c r="X6" s="5">
        <v>31.7789599</v>
      </c>
      <c r="Z6">
        <v>3.8491999999999998E-2</v>
      </c>
      <c r="AA6">
        <v>0.58643199999999995</v>
      </c>
    </row>
    <row r="7" spans="1:27" x14ac:dyDescent="0.2">
      <c r="A7" s="8">
        <v>8</v>
      </c>
      <c r="B7" s="5">
        <v>32.446703399999997</v>
      </c>
      <c r="C7" s="5">
        <v>37.530718399999998</v>
      </c>
      <c r="D7" s="5">
        <v>30.696451799999998</v>
      </c>
      <c r="E7" s="5">
        <v>19.427118199999999</v>
      </c>
      <c r="F7" s="5">
        <v>18.379173699999999</v>
      </c>
      <c r="G7" s="5">
        <v>25.634236099999999</v>
      </c>
      <c r="H7" s="5">
        <v>27.474094000000001</v>
      </c>
      <c r="I7" s="5">
        <v>32</v>
      </c>
      <c r="J7" s="5">
        <v>19.292925199999999</v>
      </c>
      <c r="K7" s="4"/>
      <c r="L7">
        <v>1.5299E-2</v>
      </c>
      <c r="M7">
        <v>0.160582</v>
      </c>
      <c r="O7" s="8">
        <v>8</v>
      </c>
      <c r="P7" s="5">
        <v>43.1114745</v>
      </c>
      <c r="Q7" s="5">
        <v>22.315898700000002</v>
      </c>
      <c r="R7" s="5">
        <v>22.471118000000001</v>
      </c>
      <c r="S7" s="5">
        <v>20.9662945</v>
      </c>
      <c r="T7" s="5">
        <v>23.4253711</v>
      </c>
      <c r="U7" s="5">
        <v>27.665191400000001</v>
      </c>
      <c r="V7" s="5">
        <v>19.292925199999999</v>
      </c>
      <c r="W7" s="5">
        <v>27.284316499999999</v>
      </c>
      <c r="X7" s="5">
        <v>19.698310599999999</v>
      </c>
      <c r="Z7">
        <v>0.50274200000000002</v>
      </c>
      <c r="AA7">
        <v>0.38398399999999999</v>
      </c>
    </row>
    <row r="8" spans="1:27" x14ac:dyDescent="0.2">
      <c r="A8" s="8">
        <v>10</v>
      </c>
      <c r="B8" s="5">
        <v>48.5029301</v>
      </c>
      <c r="C8" s="5">
        <v>53.076450899999998</v>
      </c>
      <c r="D8" s="5">
        <v>51.984153399999997</v>
      </c>
      <c r="E8" s="5">
        <v>29.8570557</v>
      </c>
      <c r="F8" s="5">
        <v>38.054627699999998</v>
      </c>
      <c r="G8" s="5">
        <v>32</v>
      </c>
      <c r="H8" s="5">
        <v>29.040613</v>
      </c>
      <c r="I8" s="5">
        <v>22.943283999999998</v>
      </c>
      <c r="J8" s="5">
        <v>28.840014799999999</v>
      </c>
      <c r="K8" s="4"/>
      <c r="L8">
        <v>3.1470000000000001E-3</v>
      </c>
      <c r="M8">
        <v>5.6599999999999999E-4</v>
      </c>
      <c r="O8" s="8">
        <v>10</v>
      </c>
      <c r="P8" s="5">
        <v>93.701484500000007</v>
      </c>
      <c r="Q8" s="5">
        <v>82.139257400000005</v>
      </c>
      <c r="R8" s="5">
        <v>77.171700999999999</v>
      </c>
      <c r="S8" s="5">
        <v>93.054241099999999</v>
      </c>
      <c r="T8" s="5">
        <v>101.125288</v>
      </c>
      <c r="U8" s="5">
        <v>106.891254</v>
      </c>
      <c r="V8" s="5">
        <v>77.171700999999999</v>
      </c>
      <c r="W8" s="5">
        <v>93.054241099999999</v>
      </c>
      <c r="X8" s="5">
        <v>100.426765</v>
      </c>
      <c r="Z8">
        <v>6.4640000000000003E-2</v>
      </c>
      <c r="AA8">
        <v>0.52386900000000003</v>
      </c>
    </row>
    <row r="9" spans="1:27" x14ac:dyDescent="0.2">
      <c r="A9" s="8">
        <v>12</v>
      </c>
      <c r="B9" s="5">
        <v>14.5203065</v>
      </c>
      <c r="C9" s="5">
        <v>17.8765942</v>
      </c>
      <c r="D9" s="5">
        <v>15.348225899999999</v>
      </c>
      <c r="E9" s="5">
        <v>4.1698630400000001</v>
      </c>
      <c r="F9" s="5">
        <v>4.4382778900000002</v>
      </c>
      <c r="G9" s="5">
        <v>4.5002339400000002</v>
      </c>
      <c r="H9" s="5">
        <v>4.4382778900000002</v>
      </c>
      <c r="I9" s="5">
        <v>6.23331664</v>
      </c>
      <c r="J9" s="5">
        <v>2.9485384300000002</v>
      </c>
      <c r="K9" s="4"/>
      <c r="L9">
        <v>3.4000000000000002E-4</v>
      </c>
      <c r="M9">
        <v>1.201E-3</v>
      </c>
      <c r="O9" s="8">
        <v>12</v>
      </c>
      <c r="P9" s="5">
        <v>77.171700999999999</v>
      </c>
      <c r="Q9" s="5">
        <v>72.003743</v>
      </c>
      <c r="R9" s="5">
        <v>64.8934067</v>
      </c>
      <c r="S9" s="5">
        <v>64</v>
      </c>
      <c r="T9" s="5">
        <v>68.593501599999996</v>
      </c>
      <c r="U9" s="5">
        <v>53.076450899999998</v>
      </c>
      <c r="V9" s="5">
        <v>60.547689400000003</v>
      </c>
      <c r="W9" s="5">
        <v>43.713288200000001</v>
      </c>
      <c r="X9" s="5">
        <v>53.817370599999997</v>
      </c>
      <c r="Z9">
        <v>0.179034</v>
      </c>
      <c r="AA9">
        <v>3.6754000000000002E-2</v>
      </c>
    </row>
    <row r="10" spans="1:27" x14ac:dyDescent="0.2">
      <c r="A10" s="8">
        <v>14</v>
      </c>
      <c r="B10" s="5">
        <v>16.111288800000001</v>
      </c>
      <c r="C10" s="5">
        <v>25.992076699999998</v>
      </c>
      <c r="D10" s="5">
        <v>21.705669199999999</v>
      </c>
      <c r="E10" s="5">
        <v>1.13288389</v>
      </c>
      <c r="F10" s="5">
        <v>2.4622888299999999</v>
      </c>
      <c r="G10" s="5">
        <v>2.1287403600000001</v>
      </c>
      <c r="H10" s="5">
        <v>0.52485833999999998</v>
      </c>
      <c r="I10" s="5">
        <v>0.45691573000000002</v>
      </c>
      <c r="J10" s="5">
        <v>2.9485384300000002</v>
      </c>
      <c r="K10" s="4"/>
      <c r="L10">
        <v>2.5769999999999999E-3</v>
      </c>
      <c r="M10">
        <v>2.5709999999999999E-3</v>
      </c>
      <c r="O10" s="8">
        <v>14</v>
      </c>
      <c r="P10" s="5">
        <v>62.682898999999999</v>
      </c>
      <c r="Q10" s="5">
        <v>89.884472000000002</v>
      </c>
      <c r="R10" s="5">
        <v>72.003743</v>
      </c>
      <c r="S10" s="5">
        <v>33.824577300000001</v>
      </c>
      <c r="T10" s="5">
        <v>37.7917652</v>
      </c>
      <c r="U10" s="5">
        <v>43.411338499999999</v>
      </c>
      <c r="V10" s="5">
        <v>78.793242500000005</v>
      </c>
      <c r="W10" s="5">
        <v>75.061436799999996</v>
      </c>
      <c r="X10" s="5">
        <v>57.2816045</v>
      </c>
      <c r="Z10">
        <v>1.2444E-2</v>
      </c>
      <c r="AA10">
        <v>0.68838299999999997</v>
      </c>
    </row>
    <row r="11" spans="1:27" x14ac:dyDescent="0.2">
      <c r="A11" s="8">
        <v>16</v>
      </c>
      <c r="B11" s="5">
        <v>11.7126856</v>
      </c>
      <c r="C11" s="5">
        <v>20.821469700000002</v>
      </c>
      <c r="D11" s="5">
        <v>10.8528346</v>
      </c>
      <c r="E11" s="5">
        <v>3.1601652499999999</v>
      </c>
      <c r="F11" s="5">
        <v>2.1734697299999999</v>
      </c>
      <c r="G11" s="5">
        <v>2.3133763699999998</v>
      </c>
      <c r="H11" s="5">
        <v>0.61132014000000001</v>
      </c>
      <c r="I11" s="5">
        <v>4</v>
      </c>
      <c r="J11" s="5">
        <v>2.2191389400000001</v>
      </c>
      <c r="K11" s="4"/>
      <c r="L11">
        <v>2.0507999999999998E-2</v>
      </c>
      <c r="M11">
        <v>2.172E-2</v>
      </c>
      <c r="O11" s="8">
        <v>16</v>
      </c>
      <c r="P11" s="5">
        <v>59.301636000000002</v>
      </c>
      <c r="Q11" s="5">
        <v>39.946577599999998</v>
      </c>
      <c r="R11" s="5">
        <v>44.631797300000002</v>
      </c>
      <c r="S11" s="5">
        <v>39.124488900000003</v>
      </c>
      <c r="T11" s="5">
        <v>23.263560300000002</v>
      </c>
      <c r="U11" s="5">
        <v>21.258973000000001</v>
      </c>
      <c r="V11" s="5">
        <v>42.224253099999999</v>
      </c>
      <c r="W11" s="5">
        <v>27.474094000000001</v>
      </c>
      <c r="X11" s="5">
        <v>48.840294700000001</v>
      </c>
      <c r="Z11">
        <v>6.8732000000000001E-2</v>
      </c>
      <c r="AA11">
        <v>0.38133400000000001</v>
      </c>
    </row>
    <row r="15" spans="1:27" x14ac:dyDescent="0.2">
      <c r="A15" s="3" t="s">
        <v>381</v>
      </c>
    </row>
    <row r="16" spans="1:27" ht="60" x14ac:dyDescent="0.2">
      <c r="A16" s="27" t="s">
        <v>107</v>
      </c>
      <c r="B16" s="27" t="s">
        <v>108</v>
      </c>
      <c r="C16" s="27" t="s">
        <v>109</v>
      </c>
      <c r="D16" s="27" t="s">
        <v>110</v>
      </c>
      <c r="E16" s="27" t="s">
        <v>111</v>
      </c>
      <c r="F16" s="27" t="s">
        <v>112</v>
      </c>
      <c r="G16" s="27" t="s">
        <v>113</v>
      </c>
      <c r="H16" s="27" t="s">
        <v>114</v>
      </c>
      <c r="I16" s="27" t="s">
        <v>115</v>
      </c>
      <c r="J16" s="27" t="s">
        <v>116</v>
      </c>
      <c r="K16" s="27" t="s">
        <v>117</v>
      </c>
      <c r="L16" s="28" t="s">
        <v>6</v>
      </c>
      <c r="M16" s="29" t="s">
        <v>118</v>
      </c>
      <c r="N16" s="30" t="s">
        <v>119</v>
      </c>
      <c r="O16" s="42" t="s">
        <v>120</v>
      </c>
      <c r="P16" s="42" t="s">
        <v>121</v>
      </c>
      <c r="Q16" s="42" t="s">
        <v>122</v>
      </c>
      <c r="R16" s="42" t="s">
        <v>123</v>
      </c>
    </row>
    <row r="17" spans="1:18" x14ac:dyDescent="0.2">
      <c r="A17" s="32" t="s">
        <v>124</v>
      </c>
      <c r="B17" s="32">
        <v>1</v>
      </c>
      <c r="C17" s="32">
        <v>54</v>
      </c>
      <c r="D17" s="32" t="s">
        <v>125</v>
      </c>
      <c r="E17" s="32" t="s">
        <v>126</v>
      </c>
      <c r="F17" s="32" t="s">
        <v>127</v>
      </c>
      <c r="G17" s="32" t="s">
        <v>128</v>
      </c>
      <c r="H17" s="32">
        <v>1</v>
      </c>
      <c r="I17" s="32" t="s">
        <v>129</v>
      </c>
      <c r="J17" s="32" t="s">
        <v>130</v>
      </c>
      <c r="K17" s="32" t="s">
        <v>131</v>
      </c>
      <c r="L17" s="33" t="s">
        <v>132</v>
      </c>
      <c r="M17" s="34" t="s">
        <v>133</v>
      </c>
      <c r="N17" s="30">
        <v>1</v>
      </c>
      <c r="O17" s="31">
        <v>1</v>
      </c>
      <c r="P17" s="31"/>
      <c r="Q17" s="31"/>
      <c r="R17" s="31"/>
    </row>
    <row r="18" spans="1:18" x14ac:dyDescent="0.2">
      <c r="A18" s="32" t="s">
        <v>134</v>
      </c>
      <c r="B18" s="32">
        <v>2</v>
      </c>
      <c r="C18" s="32">
        <v>61</v>
      </c>
      <c r="D18" s="32" t="s">
        <v>135</v>
      </c>
      <c r="E18" s="32" t="s">
        <v>126</v>
      </c>
      <c r="F18" s="32" t="s">
        <v>127</v>
      </c>
      <c r="G18" s="32" t="s">
        <v>128</v>
      </c>
      <c r="H18" s="32">
        <v>1</v>
      </c>
      <c r="I18" s="32" t="s">
        <v>129</v>
      </c>
      <c r="J18" s="32" t="s">
        <v>130</v>
      </c>
      <c r="K18" s="32" t="s">
        <v>136</v>
      </c>
      <c r="L18" s="33" t="s">
        <v>133</v>
      </c>
      <c r="M18" s="34" t="s">
        <v>132</v>
      </c>
      <c r="N18" s="30">
        <v>2</v>
      </c>
      <c r="O18" s="31">
        <v>1</v>
      </c>
      <c r="P18" s="31"/>
      <c r="Q18" s="31"/>
      <c r="R18" s="31"/>
    </row>
    <row r="19" spans="1:18" x14ac:dyDescent="0.2">
      <c r="A19" s="32" t="s">
        <v>137</v>
      </c>
      <c r="B19" s="32">
        <v>3</v>
      </c>
      <c r="C19" s="32">
        <v>61</v>
      </c>
      <c r="D19" s="32" t="s">
        <v>125</v>
      </c>
      <c r="E19" s="32" t="s">
        <v>126</v>
      </c>
      <c r="F19" s="32" t="s">
        <v>127</v>
      </c>
      <c r="G19" s="32" t="s">
        <v>128</v>
      </c>
      <c r="H19" s="32">
        <v>1</v>
      </c>
      <c r="I19" s="32" t="s">
        <v>129</v>
      </c>
      <c r="J19" s="32" t="s">
        <v>130</v>
      </c>
      <c r="K19" s="32" t="s">
        <v>138</v>
      </c>
      <c r="L19" s="33" t="s">
        <v>133</v>
      </c>
      <c r="M19" s="34" t="s">
        <v>132</v>
      </c>
      <c r="N19" s="30">
        <v>3</v>
      </c>
      <c r="O19" s="31">
        <v>1</v>
      </c>
      <c r="P19" s="31"/>
      <c r="Q19" s="31"/>
      <c r="R19" s="31"/>
    </row>
    <row r="20" spans="1:18" x14ac:dyDescent="0.2">
      <c r="A20" s="32" t="s">
        <v>139</v>
      </c>
      <c r="B20" s="32">
        <v>4</v>
      </c>
      <c r="C20" s="32">
        <v>50</v>
      </c>
      <c r="D20" s="32" t="s">
        <v>125</v>
      </c>
      <c r="E20" s="32" t="s">
        <v>126</v>
      </c>
      <c r="F20" s="32" t="s">
        <v>127</v>
      </c>
      <c r="G20" s="32" t="s">
        <v>140</v>
      </c>
      <c r="H20" s="32">
        <v>1</v>
      </c>
      <c r="I20" s="32" t="s">
        <v>141</v>
      </c>
      <c r="J20" s="32" t="s">
        <v>130</v>
      </c>
      <c r="K20" s="32" t="s">
        <v>142</v>
      </c>
      <c r="L20" s="33" t="s">
        <v>132</v>
      </c>
      <c r="M20" s="34" t="s">
        <v>132</v>
      </c>
      <c r="N20" s="30">
        <v>4</v>
      </c>
      <c r="O20" s="31">
        <v>1</v>
      </c>
      <c r="P20" s="31"/>
      <c r="Q20" s="31"/>
      <c r="R20" s="31"/>
    </row>
    <row r="21" spans="1:18" x14ac:dyDescent="0.2">
      <c r="A21" s="32" t="s">
        <v>143</v>
      </c>
      <c r="B21" s="32">
        <v>5</v>
      </c>
      <c r="C21" s="32">
        <v>67</v>
      </c>
      <c r="D21" s="32" t="s">
        <v>125</v>
      </c>
      <c r="E21" s="32" t="s">
        <v>126</v>
      </c>
      <c r="F21" s="32" t="s">
        <v>127</v>
      </c>
      <c r="G21" s="32" t="s">
        <v>128</v>
      </c>
      <c r="H21" s="32">
        <v>1</v>
      </c>
      <c r="I21" s="32" t="s">
        <v>129</v>
      </c>
      <c r="J21" s="32" t="s">
        <v>130</v>
      </c>
      <c r="K21" s="32" t="s">
        <v>144</v>
      </c>
      <c r="L21" s="33" t="s">
        <v>132</v>
      </c>
      <c r="M21" s="34" t="s">
        <v>132</v>
      </c>
      <c r="N21" s="30">
        <v>5</v>
      </c>
      <c r="O21" s="31">
        <v>1</v>
      </c>
      <c r="P21" s="31"/>
      <c r="Q21" s="31"/>
      <c r="R21" s="31"/>
    </row>
    <row r="22" spans="1:18" x14ac:dyDescent="0.2">
      <c r="A22" s="32" t="s">
        <v>145</v>
      </c>
      <c r="B22" s="32">
        <v>6</v>
      </c>
      <c r="C22" s="32">
        <v>26</v>
      </c>
      <c r="D22" s="32" t="s">
        <v>125</v>
      </c>
      <c r="E22" s="32" t="s">
        <v>126</v>
      </c>
      <c r="F22" s="32" t="s">
        <v>127</v>
      </c>
      <c r="G22" s="32" t="s">
        <v>140</v>
      </c>
      <c r="H22" s="32">
        <v>1</v>
      </c>
      <c r="I22" s="32" t="s">
        <v>141</v>
      </c>
      <c r="J22" s="32" t="s">
        <v>130</v>
      </c>
      <c r="K22" s="32" t="s">
        <v>146</v>
      </c>
      <c r="L22" s="33" t="s">
        <v>147</v>
      </c>
      <c r="M22" s="34" t="s">
        <v>147</v>
      </c>
      <c r="N22" s="30">
        <v>6</v>
      </c>
      <c r="O22" s="31"/>
      <c r="P22" s="31"/>
      <c r="Q22" s="31"/>
      <c r="R22" s="31">
        <v>1</v>
      </c>
    </row>
    <row r="23" spans="1:18" x14ac:dyDescent="0.2">
      <c r="A23" s="32" t="s">
        <v>148</v>
      </c>
      <c r="B23" s="32">
        <v>7</v>
      </c>
      <c r="C23" s="32">
        <v>64</v>
      </c>
      <c r="D23" s="32" t="s">
        <v>125</v>
      </c>
      <c r="E23" s="32" t="s">
        <v>126</v>
      </c>
      <c r="F23" s="32" t="s">
        <v>127</v>
      </c>
      <c r="G23" s="32" t="s">
        <v>128</v>
      </c>
      <c r="H23" s="32">
        <v>1</v>
      </c>
      <c r="I23" s="32" t="s">
        <v>129</v>
      </c>
      <c r="J23" s="32" t="s">
        <v>130</v>
      </c>
      <c r="K23" s="32" t="s">
        <v>149</v>
      </c>
      <c r="L23" s="33" t="s">
        <v>132</v>
      </c>
      <c r="M23" s="34" t="s">
        <v>132</v>
      </c>
      <c r="N23" s="30">
        <v>7</v>
      </c>
      <c r="O23" s="31">
        <v>1</v>
      </c>
      <c r="P23" s="31"/>
      <c r="Q23" s="31"/>
      <c r="R23" s="31"/>
    </row>
    <row r="24" spans="1:18" x14ac:dyDescent="0.2">
      <c r="A24" s="32" t="s">
        <v>150</v>
      </c>
      <c r="B24" s="32">
        <v>8</v>
      </c>
      <c r="C24" s="32">
        <v>64</v>
      </c>
      <c r="D24" s="32" t="s">
        <v>135</v>
      </c>
      <c r="E24" s="32" t="s">
        <v>126</v>
      </c>
      <c r="F24" s="32" t="s">
        <v>127</v>
      </c>
      <c r="G24" s="32" t="s">
        <v>140</v>
      </c>
      <c r="H24" s="32">
        <v>1</v>
      </c>
      <c r="I24" s="32" t="s">
        <v>141</v>
      </c>
      <c r="J24" s="32" t="s">
        <v>130</v>
      </c>
      <c r="K24" s="32" t="s">
        <v>151</v>
      </c>
      <c r="L24" s="33" t="s">
        <v>132</v>
      </c>
      <c r="M24" s="34" t="s">
        <v>132</v>
      </c>
      <c r="N24" s="30">
        <v>8</v>
      </c>
      <c r="O24" s="31">
        <v>1</v>
      </c>
      <c r="P24" s="31"/>
      <c r="Q24" s="31"/>
      <c r="R24" s="31"/>
    </row>
    <row r="25" spans="1:18" x14ac:dyDescent="0.2">
      <c r="A25" s="32" t="s">
        <v>152</v>
      </c>
      <c r="B25" s="32">
        <v>9</v>
      </c>
      <c r="C25" s="32">
        <v>63</v>
      </c>
      <c r="D25" s="32" t="s">
        <v>125</v>
      </c>
      <c r="E25" s="32" t="s">
        <v>126</v>
      </c>
      <c r="F25" s="32" t="s">
        <v>127</v>
      </c>
      <c r="G25" s="32" t="s">
        <v>128</v>
      </c>
      <c r="H25" s="32">
        <v>1</v>
      </c>
      <c r="I25" s="32" t="s">
        <v>129</v>
      </c>
      <c r="J25" s="32" t="s">
        <v>130</v>
      </c>
      <c r="K25" s="32" t="s">
        <v>153</v>
      </c>
      <c r="L25" s="33" t="s">
        <v>133</v>
      </c>
      <c r="M25" s="34" t="s">
        <v>132</v>
      </c>
      <c r="N25" s="30">
        <v>9</v>
      </c>
      <c r="O25" s="31">
        <v>1</v>
      </c>
      <c r="P25" s="31"/>
      <c r="Q25" s="31"/>
      <c r="R25" s="31"/>
    </row>
    <row r="26" spans="1:18" x14ac:dyDescent="0.2">
      <c r="A26" s="32" t="s">
        <v>154</v>
      </c>
      <c r="B26" s="32">
        <v>10</v>
      </c>
      <c r="C26" s="32">
        <v>71</v>
      </c>
      <c r="D26" s="32" t="s">
        <v>135</v>
      </c>
      <c r="E26" s="32" t="s">
        <v>126</v>
      </c>
      <c r="F26" s="32" t="s">
        <v>127</v>
      </c>
      <c r="G26" s="32" t="s">
        <v>140</v>
      </c>
      <c r="H26" s="32">
        <v>1</v>
      </c>
      <c r="I26" s="32" t="s">
        <v>141</v>
      </c>
      <c r="J26" s="32" t="s">
        <v>130</v>
      </c>
      <c r="K26" s="32" t="s">
        <v>155</v>
      </c>
      <c r="L26" s="33" t="s">
        <v>133</v>
      </c>
      <c r="M26" s="34" t="s">
        <v>133</v>
      </c>
      <c r="N26" s="30">
        <v>10</v>
      </c>
      <c r="O26" s="31">
        <v>1</v>
      </c>
      <c r="P26" s="31"/>
      <c r="Q26" s="31"/>
      <c r="R26" s="31"/>
    </row>
    <row r="27" spans="1:18" x14ac:dyDescent="0.2">
      <c r="A27" s="32" t="s">
        <v>156</v>
      </c>
      <c r="B27" s="32">
        <v>11</v>
      </c>
      <c r="C27" s="32">
        <v>61</v>
      </c>
      <c r="D27" s="32" t="s">
        <v>135</v>
      </c>
      <c r="E27" s="32" t="s">
        <v>126</v>
      </c>
      <c r="F27" s="32" t="s">
        <v>127</v>
      </c>
      <c r="G27" s="32" t="s">
        <v>128</v>
      </c>
      <c r="H27" s="32">
        <v>1</v>
      </c>
      <c r="I27" s="32" t="s">
        <v>129</v>
      </c>
      <c r="J27" s="32" t="s">
        <v>130</v>
      </c>
      <c r="K27" s="32" t="s">
        <v>157</v>
      </c>
      <c r="L27" s="33" t="s">
        <v>132</v>
      </c>
      <c r="M27" s="34" t="s">
        <v>132</v>
      </c>
      <c r="N27" s="30">
        <v>11</v>
      </c>
      <c r="O27" s="31">
        <v>1</v>
      </c>
      <c r="P27" s="31"/>
      <c r="Q27" s="31"/>
      <c r="R27" s="31"/>
    </row>
    <row r="28" spans="1:18" x14ac:dyDescent="0.2">
      <c r="A28" s="32" t="s">
        <v>158</v>
      </c>
      <c r="B28" s="32">
        <v>12</v>
      </c>
      <c r="C28" s="32">
        <v>54</v>
      </c>
      <c r="D28" s="32" t="s">
        <v>135</v>
      </c>
      <c r="E28" s="32" t="s">
        <v>126</v>
      </c>
      <c r="F28" s="32" t="s">
        <v>127</v>
      </c>
      <c r="G28" s="32" t="s">
        <v>140</v>
      </c>
      <c r="H28" s="32">
        <v>1</v>
      </c>
      <c r="I28" s="32" t="s">
        <v>141</v>
      </c>
      <c r="J28" s="32" t="s">
        <v>130</v>
      </c>
      <c r="K28" s="32" t="s">
        <v>159</v>
      </c>
      <c r="L28" s="33" t="s">
        <v>133</v>
      </c>
      <c r="M28" s="34" t="s">
        <v>133</v>
      </c>
      <c r="N28" s="30">
        <v>12</v>
      </c>
      <c r="O28" s="31">
        <v>1</v>
      </c>
      <c r="P28" s="31"/>
      <c r="Q28" s="31"/>
      <c r="R28" s="31"/>
    </row>
    <row r="29" spans="1:18" x14ac:dyDescent="0.2">
      <c r="A29" s="32" t="s">
        <v>160</v>
      </c>
      <c r="B29" s="32">
        <v>13</v>
      </c>
      <c r="C29" s="32">
        <v>51</v>
      </c>
      <c r="D29" s="32" t="s">
        <v>125</v>
      </c>
      <c r="E29" s="32" t="s">
        <v>126</v>
      </c>
      <c r="F29" s="32" t="s">
        <v>127</v>
      </c>
      <c r="G29" s="32" t="s">
        <v>128</v>
      </c>
      <c r="H29" s="32">
        <v>1</v>
      </c>
      <c r="I29" s="32" t="s">
        <v>129</v>
      </c>
      <c r="J29" s="32" t="s">
        <v>130</v>
      </c>
      <c r="K29" s="32" t="s">
        <v>161</v>
      </c>
      <c r="L29" s="33" t="s">
        <v>132</v>
      </c>
      <c r="M29" s="34" t="s">
        <v>132</v>
      </c>
      <c r="N29" s="30">
        <v>13</v>
      </c>
      <c r="O29" s="31">
        <v>1</v>
      </c>
      <c r="P29" s="31"/>
      <c r="Q29" s="31"/>
      <c r="R29" s="31"/>
    </row>
    <row r="30" spans="1:18" x14ac:dyDescent="0.2">
      <c r="A30" s="32" t="s">
        <v>162</v>
      </c>
      <c r="B30" s="32">
        <v>14</v>
      </c>
      <c r="C30" s="32">
        <v>68</v>
      </c>
      <c r="D30" s="32" t="s">
        <v>135</v>
      </c>
      <c r="E30" s="32" t="s">
        <v>126</v>
      </c>
      <c r="F30" s="32" t="s">
        <v>127</v>
      </c>
      <c r="G30" s="32" t="s">
        <v>128</v>
      </c>
      <c r="H30" s="32">
        <v>1</v>
      </c>
      <c r="I30" s="32" t="s">
        <v>129</v>
      </c>
      <c r="J30" s="32" t="s">
        <v>130</v>
      </c>
      <c r="K30" s="32" t="s">
        <v>163</v>
      </c>
      <c r="L30" s="33" t="s">
        <v>133</v>
      </c>
      <c r="M30" s="34" t="s">
        <v>132</v>
      </c>
      <c r="N30" s="30">
        <v>14</v>
      </c>
      <c r="O30" s="31">
        <v>1</v>
      </c>
      <c r="P30" s="31"/>
      <c r="Q30" s="31"/>
      <c r="R30" s="31"/>
    </row>
    <row r="31" spans="1:18" x14ac:dyDescent="0.2">
      <c r="A31" s="32" t="s">
        <v>164</v>
      </c>
      <c r="B31" s="32">
        <v>15</v>
      </c>
      <c r="C31" s="32">
        <v>50</v>
      </c>
      <c r="D31" s="32" t="s">
        <v>125</v>
      </c>
      <c r="E31" s="32" t="s">
        <v>126</v>
      </c>
      <c r="F31" s="32" t="s">
        <v>127</v>
      </c>
      <c r="G31" s="32" t="s">
        <v>128</v>
      </c>
      <c r="H31" s="32">
        <v>1</v>
      </c>
      <c r="I31" s="32" t="s">
        <v>129</v>
      </c>
      <c r="J31" s="32" t="s">
        <v>130</v>
      </c>
      <c r="K31" s="32" t="s">
        <v>165</v>
      </c>
      <c r="L31" s="33" t="s">
        <v>147</v>
      </c>
      <c r="M31" s="34" t="s">
        <v>132</v>
      </c>
      <c r="N31" s="30">
        <v>15</v>
      </c>
      <c r="O31" s="31"/>
      <c r="P31" s="31"/>
      <c r="Q31" s="31">
        <v>1</v>
      </c>
      <c r="R31" s="31"/>
    </row>
    <row r="32" spans="1:18" x14ac:dyDescent="0.2">
      <c r="A32" s="32" t="s">
        <v>166</v>
      </c>
      <c r="B32" s="32">
        <v>16</v>
      </c>
      <c r="C32" s="32">
        <v>47</v>
      </c>
      <c r="D32" s="32" t="s">
        <v>125</v>
      </c>
      <c r="E32" s="32" t="s">
        <v>126</v>
      </c>
      <c r="F32" s="32" t="s">
        <v>127</v>
      </c>
      <c r="G32" s="32" t="s">
        <v>128</v>
      </c>
      <c r="H32" s="32">
        <v>1</v>
      </c>
      <c r="I32" s="32" t="s">
        <v>129</v>
      </c>
      <c r="J32" s="32" t="s">
        <v>130</v>
      </c>
      <c r="K32" s="32" t="s">
        <v>167</v>
      </c>
      <c r="L32" s="33" t="s">
        <v>168</v>
      </c>
      <c r="M32" s="34" t="s">
        <v>168</v>
      </c>
      <c r="N32" s="30">
        <v>16</v>
      </c>
      <c r="O32" s="31"/>
      <c r="P32" s="31"/>
      <c r="Q32" s="31"/>
      <c r="R32" s="31"/>
    </row>
    <row r="33" spans="1:18" x14ac:dyDescent="0.2">
      <c r="A33" s="32" t="s">
        <v>169</v>
      </c>
      <c r="B33" s="32">
        <v>17</v>
      </c>
      <c r="C33" s="32">
        <v>60</v>
      </c>
      <c r="D33" s="32" t="s">
        <v>125</v>
      </c>
      <c r="E33" s="32" t="s">
        <v>126</v>
      </c>
      <c r="F33" s="32" t="s">
        <v>127</v>
      </c>
      <c r="G33" s="32" t="s">
        <v>140</v>
      </c>
      <c r="H33" s="32">
        <v>1</v>
      </c>
      <c r="I33" s="32" t="s">
        <v>141</v>
      </c>
      <c r="J33" s="32" t="s">
        <v>130</v>
      </c>
      <c r="K33" s="32" t="s">
        <v>170</v>
      </c>
      <c r="L33" s="33" t="s">
        <v>147</v>
      </c>
      <c r="M33" s="34" t="s">
        <v>133</v>
      </c>
      <c r="N33" s="30">
        <v>17</v>
      </c>
      <c r="O33" s="31"/>
      <c r="P33" s="31"/>
      <c r="Q33" s="31">
        <v>1</v>
      </c>
      <c r="R33" s="31"/>
    </row>
    <row r="34" spans="1:18" x14ac:dyDescent="0.2">
      <c r="A34" s="32" t="s">
        <v>171</v>
      </c>
      <c r="B34" s="32">
        <v>18</v>
      </c>
      <c r="C34" s="32">
        <v>36</v>
      </c>
      <c r="D34" s="32" t="s">
        <v>125</v>
      </c>
      <c r="E34" s="32" t="s">
        <v>126</v>
      </c>
      <c r="F34" s="32" t="s">
        <v>127</v>
      </c>
      <c r="G34" s="32" t="s">
        <v>128</v>
      </c>
      <c r="H34" s="32">
        <v>1</v>
      </c>
      <c r="I34" s="32" t="s">
        <v>129</v>
      </c>
      <c r="J34" s="32" t="s">
        <v>130</v>
      </c>
      <c r="K34" s="32" t="s">
        <v>172</v>
      </c>
      <c r="L34" s="33" t="s">
        <v>133</v>
      </c>
      <c r="M34" s="34" t="s">
        <v>133</v>
      </c>
      <c r="N34" s="30">
        <v>18</v>
      </c>
      <c r="O34" s="31">
        <v>1</v>
      </c>
      <c r="P34" s="31"/>
      <c r="Q34" s="31"/>
      <c r="R34" s="31"/>
    </row>
    <row r="35" spans="1:18" x14ac:dyDescent="0.2">
      <c r="A35" s="32" t="s">
        <v>173</v>
      </c>
      <c r="B35" s="32">
        <v>19</v>
      </c>
      <c r="C35" s="32">
        <v>52</v>
      </c>
      <c r="D35" s="32" t="s">
        <v>125</v>
      </c>
      <c r="E35" s="32" t="s">
        <v>126</v>
      </c>
      <c r="F35" s="32" t="s">
        <v>127</v>
      </c>
      <c r="G35" s="32" t="s">
        <v>128</v>
      </c>
      <c r="H35" s="32">
        <v>1</v>
      </c>
      <c r="I35" s="32" t="s">
        <v>129</v>
      </c>
      <c r="J35" s="32" t="s">
        <v>130</v>
      </c>
      <c r="K35" s="32" t="s">
        <v>174</v>
      </c>
      <c r="L35" s="33" t="s">
        <v>175</v>
      </c>
      <c r="M35" s="34" t="s">
        <v>133</v>
      </c>
      <c r="N35" s="30">
        <v>19</v>
      </c>
      <c r="O35" s="31"/>
      <c r="P35" s="31"/>
      <c r="Q35" s="31">
        <v>1</v>
      </c>
      <c r="R35" s="31"/>
    </row>
    <row r="36" spans="1:18" x14ac:dyDescent="0.2">
      <c r="A36" s="32" t="s">
        <v>176</v>
      </c>
      <c r="B36" s="32">
        <v>20</v>
      </c>
      <c r="C36" s="32">
        <v>60</v>
      </c>
      <c r="D36" s="32" t="s">
        <v>125</v>
      </c>
      <c r="E36" s="32" t="s">
        <v>126</v>
      </c>
      <c r="F36" s="32" t="s">
        <v>127</v>
      </c>
      <c r="G36" s="32" t="s">
        <v>140</v>
      </c>
      <c r="H36" s="32">
        <v>2</v>
      </c>
      <c r="I36" s="32" t="s">
        <v>141</v>
      </c>
      <c r="J36" s="32" t="s">
        <v>130</v>
      </c>
      <c r="K36" s="32" t="s">
        <v>177</v>
      </c>
      <c r="L36" s="33" t="s">
        <v>147</v>
      </c>
      <c r="M36" s="34" t="s">
        <v>133</v>
      </c>
      <c r="N36" s="30">
        <v>20</v>
      </c>
      <c r="O36" s="31"/>
      <c r="P36" s="31"/>
      <c r="Q36" s="31">
        <v>1</v>
      </c>
      <c r="R36" s="31"/>
    </row>
    <row r="37" spans="1:18" x14ac:dyDescent="0.2">
      <c r="A37" s="32" t="s">
        <v>178</v>
      </c>
      <c r="B37" s="32">
        <v>21</v>
      </c>
      <c r="C37" s="32">
        <v>48</v>
      </c>
      <c r="D37" s="32" t="s">
        <v>125</v>
      </c>
      <c r="E37" s="32" t="s">
        <v>126</v>
      </c>
      <c r="F37" s="32" t="s">
        <v>127</v>
      </c>
      <c r="G37" s="32" t="s">
        <v>128</v>
      </c>
      <c r="H37" s="32">
        <v>1</v>
      </c>
      <c r="I37" s="32" t="s">
        <v>129</v>
      </c>
      <c r="J37" s="32" t="s">
        <v>130</v>
      </c>
      <c r="K37" s="32" t="s">
        <v>179</v>
      </c>
      <c r="L37" s="33" t="s">
        <v>147</v>
      </c>
      <c r="M37" s="34" t="s">
        <v>147</v>
      </c>
      <c r="N37" s="30">
        <v>21</v>
      </c>
      <c r="O37" s="31"/>
      <c r="P37" s="31"/>
      <c r="Q37" s="31"/>
      <c r="R37" s="31">
        <v>1</v>
      </c>
    </row>
    <row r="38" spans="1:18" x14ac:dyDescent="0.2">
      <c r="A38" s="32" t="s">
        <v>180</v>
      </c>
      <c r="B38" s="32">
        <v>22</v>
      </c>
      <c r="C38" s="32">
        <v>63</v>
      </c>
      <c r="D38" s="32" t="s">
        <v>125</v>
      </c>
      <c r="E38" s="32" t="s">
        <v>126</v>
      </c>
      <c r="F38" s="32" t="s">
        <v>127</v>
      </c>
      <c r="G38" s="32" t="s">
        <v>140</v>
      </c>
      <c r="H38" s="32">
        <v>1</v>
      </c>
      <c r="I38" s="32" t="s">
        <v>141</v>
      </c>
      <c r="J38" s="32" t="s">
        <v>130</v>
      </c>
      <c r="K38" s="32" t="s">
        <v>181</v>
      </c>
      <c r="L38" s="33" t="s">
        <v>133</v>
      </c>
      <c r="M38" s="34" t="s">
        <v>132</v>
      </c>
      <c r="N38" s="30">
        <v>22</v>
      </c>
      <c r="O38" s="31">
        <v>1</v>
      </c>
      <c r="P38" s="31"/>
      <c r="Q38" s="31"/>
      <c r="R38" s="31"/>
    </row>
    <row r="39" spans="1:18" x14ac:dyDescent="0.2">
      <c r="A39" s="32" t="s">
        <v>182</v>
      </c>
      <c r="B39" s="32">
        <v>23</v>
      </c>
      <c r="C39" s="32">
        <v>51</v>
      </c>
      <c r="D39" s="32" t="s">
        <v>125</v>
      </c>
      <c r="E39" s="32" t="s">
        <v>126</v>
      </c>
      <c r="F39" s="32" t="s">
        <v>127</v>
      </c>
      <c r="G39" s="32" t="s">
        <v>140</v>
      </c>
      <c r="H39" s="32">
        <v>1</v>
      </c>
      <c r="I39" s="32" t="s">
        <v>141</v>
      </c>
      <c r="J39" s="32" t="s">
        <v>130</v>
      </c>
      <c r="K39" s="32" t="s">
        <v>183</v>
      </c>
      <c r="L39" s="33" t="s">
        <v>175</v>
      </c>
      <c r="M39" s="34" t="s">
        <v>175</v>
      </c>
      <c r="N39" s="30">
        <v>23</v>
      </c>
      <c r="O39" s="31"/>
      <c r="P39" s="31"/>
      <c r="Q39" s="31"/>
      <c r="R39" s="31">
        <v>1</v>
      </c>
    </row>
    <row r="40" spans="1:18" x14ac:dyDescent="0.2">
      <c r="A40" s="32" t="s">
        <v>184</v>
      </c>
      <c r="B40" s="32">
        <v>24</v>
      </c>
      <c r="C40" s="32">
        <v>64</v>
      </c>
      <c r="D40" s="32" t="s">
        <v>135</v>
      </c>
      <c r="E40" s="32" t="s">
        <v>126</v>
      </c>
      <c r="F40" s="32" t="s">
        <v>127</v>
      </c>
      <c r="G40" s="32" t="s">
        <v>128</v>
      </c>
      <c r="H40" s="32">
        <v>1</v>
      </c>
      <c r="I40" s="32" t="s">
        <v>129</v>
      </c>
      <c r="J40" s="32" t="s">
        <v>130</v>
      </c>
      <c r="K40" s="32" t="s">
        <v>185</v>
      </c>
      <c r="L40" s="33" t="s">
        <v>147</v>
      </c>
      <c r="M40" s="34" t="s">
        <v>133</v>
      </c>
      <c r="N40" s="30">
        <v>24</v>
      </c>
      <c r="O40" s="31"/>
      <c r="P40" s="31"/>
      <c r="Q40" s="31">
        <v>1</v>
      </c>
      <c r="R40" s="31"/>
    </row>
    <row r="41" spans="1:18" x14ac:dyDescent="0.2">
      <c r="A41" s="35" t="s">
        <v>186</v>
      </c>
      <c r="B41" s="35">
        <v>25</v>
      </c>
      <c r="C41" s="35">
        <v>66</v>
      </c>
      <c r="D41" s="35" t="s">
        <v>125</v>
      </c>
      <c r="E41" s="35" t="s">
        <v>126</v>
      </c>
      <c r="F41" s="35" t="s">
        <v>127</v>
      </c>
      <c r="G41" s="35" t="s">
        <v>128</v>
      </c>
      <c r="H41" s="35">
        <v>1</v>
      </c>
      <c r="I41" s="35" t="s">
        <v>129</v>
      </c>
      <c r="J41" s="35" t="s">
        <v>130</v>
      </c>
      <c r="K41" s="35" t="s">
        <v>187</v>
      </c>
      <c r="L41" s="36" t="s">
        <v>147</v>
      </c>
      <c r="M41" s="37" t="s">
        <v>147</v>
      </c>
      <c r="N41" s="38">
        <v>25</v>
      </c>
      <c r="O41" s="39"/>
      <c r="P41" s="39"/>
      <c r="Q41" s="39"/>
      <c r="R41" s="39">
        <v>1</v>
      </c>
    </row>
    <row r="42" spans="1:18" x14ac:dyDescent="0.2">
      <c r="A42" s="32" t="s">
        <v>188</v>
      </c>
      <c r="B42" s="32">
        <v>26</v>
      </c>
      <c r="C42" s="32">
        <v>33</v>
      </c>
      <c r="D42" s="32" t="s">
        <v>135</v>
      </c>
      <c r="E42" s="32" t="s">
        <v>126</v>
      </c>
      <c r="F42" s="32" t="s">
        <v>127</v>
      </c>
      <c r="G42" s="32" t="s">
        <v>128</v>
      </c>
      <c r="H42" s="32">
        <v>1</v>
      </c>
      <c r="I42" s="32" t="s">
        <v>129</v>
      </c>
      <c r="J42" s="32" t="s">
        <v>130</v>
      </c>
      <c r="K42" s="32" t="s">
        <v>189</v>
      </c>
      <c r="L42" s="33" t="s">
        <v>147</v>
      </c>
      <c r="M42" s="34" t="s">
        <v>132</v>
      </c>
      <c r="N42" s="30">
        <v>26</v>
      </c>
      <c r="O42" s="31"/>
      <c r="P42" s="31"/>
      <c r="Q42" s="31">
        <v>1</v>
      </c>
      <c r="R42" s="31"/>
    </row>
    <row r="43" spans="1:18" x14ac:dyDescent="0.2">
      <c r="A43" s="32" t="s">
        <v>190</v>
      </c>
      <c r="B43" s="32">
        <v>27</v>
      </c>
      <c r="C43" s="32">
        <v>62</v>
      </c>
      <c r="D43" s="32" t="s">
        <v>125</v>
      </c>
      <c r="E43" s="32" t="s">
        <v>126</v>
      </c>
      <c r="F43" s="32" t="s">
        <v>127</v>
      </c>
      <c r="G43" s="32" t="s">
        <v>128</v>
      </c>
      <c r="H43" s="32">
        <v>1</v>
      </c>
      <c r="I43" s="32" t="s">
        <v>129</v>
      </c>
      <c r="J43" s="32" t="s">
        <v>130</v>
      </c>
      <c r="K43" s="32" t="s">
        <v>191</v>
      </c>
      <c r="L43" s="33" t="s">
        <v>147</v>
      </c>
      <c r="M43" s="34" t="s">
        <v>132</v>
      </c>
      <c r="N43" s="30">
        <v>27</v>
      </c>
      <c r="O43" s="31"/>
      <c r="P43" s="31"/>
      <c r="Q43" s="31">
        <v>1</v>
      </c>
      <c r="R43" s="31"/>
    </row>
    <row r="44" spans="1:18" x14ac:dyDescent="0.2">
      <c r="A44" s="32" t="s">
        <v>192</v>
      </c>
      <c r="B44" s="32">
        <v>28</v>
      </c>
      <c r="C44" s="32">
        <v>50</v>
      </c>
      <c r="D44" s="32" t="s">
        <v>125</v>
      </c>
      <c r="E44" s="32" t="s">
        <v>126</v>
      </c>
      <c r="F44" s="32" t="s">
        <v>127</v>
      </c>
      <c r="G44" s="32" t="s">
        <v>128</v>
      </c>
      <c r="H44" s="32">
        <v>1</v>
      </c>
      <c r="I44" s="32" t="s">
        <v>129</v>
      </c>
      <c r="J44" s="32" t="s">
        <v>130</v>
      </c>
      <c r="K44" s="32" t="s">
        <v>193</v>
      </c>
      <c r="L44" s="33" t="s">
        <v>175</v>
      </c>
      <c r="M44" s="34" t="s">
        <v>147</v>
      </c>
      <c r="N44" s="30">
        <v>28</v>
      </c>
      <c r="O44" s="31"/>
      <c r="P44" s="31"/>
      <c r="Q44" s="31"/>
      <c r="R44" s="31">
        <v>1</v>
      </c>
    </row>
    <row r="45" spans="1:18" x14ac:dyDescent="0.2">
      <c r="A45" s="32" t="s">
        <v>194</v>
      </c>
      <c r="B45" s="32">
        <v>29</v>
      </c>
      <c r="C45" s="32">
        <v>49</v>
      </c>
      <c r="D45" s="32" t="s">
        <v>135</v>
      </c>
      <c r="E45" s="32" t="s">
        <v>126</v>
      </c>
      <c r="F45" s="32" t="s">
        <v>127</v>
      </c>
      <c r="G45" s="32" t="s">
        <v>128</v>
      </c>
      <c r="H45" s="32">
        <v>1</v>
      </c>
      <c r="I45" s="32" t="s">
        <v>129</v>
      </c>
      <c r="J45" s="32" t="s">
        <v>130</v>
      </c>
      <c r="K45" s="32" t="s">
        <v>195</v>
      </c>
      <c r="L45" s="33" t="s">
        <v>132</v>
      </c>
      <c r="M45" s="34" t="s">
        <v>132</v>
      </c>
      <c r="N45" s="30">
        <v>29</v>
      </c>
      <c r="O45" s="31">
        <v>1</v>
      </c>
      <c r="P45" s="31"/>
      <c r="Q45" s="31"/>
      <c r="R45" s="31"/>
    </row>
    <row r="46" spans="1:18" x14ac:dyDescent="0.2">
      <c r="A46" s="32" t="s">
        <v>196</v>
      </c>
      <c r="B46" s="32">
        <v>30</v>
      </c>
      <c r="C46" s="32">
        <v>57</v>
      </c>
      <c r="D46" s="32" t="s">
        <v>135</v>
      </c>
      <c r="E46" s="32" t="s">
        <v>126</v>
      </c>
      <c r="F46" s="32" t="s">
        <v>197</v>
      </c>
      <c r="G46" s="32" t="s">
        <v>128</v>
      </c>
      <c r="H46" s="32" t="s">
        <v>198</v>
      </c>
      <c r="I46" s="32" t="s">
        <v>129</v>
      </c>
      <c r="J46" s="32" t="s">
        <v>130</v>
      </c>
      <c r="K46" s="32" t="s">
        <v>199</v>
      </c>
      <c r="L46" s="33" t="s">
        <v>168</v>
      </c>
      <c r="M46" s="34" t="s">
        <v>168</v>
      </c>
      <c r="N46" s="30">
        <v>30</v>
      </c>
      <c r="O46" s="31"/>
      <c r="P46" s="31"/>
      <c r="Q46" s="31"/>
      <c r="R46" s="31"/>
    </row>
    <row r="47" spans="1:18" x14ac:dyDescent="0.2">
      <c r="A47" s="32" t="s">
        <v>200</v>
      </c>
      <c r="B47" s="32">
        <v>31</v>
      </c>
      <c r="C47" s="32">
        <v>58</v>
      </c>
      <c r="D47" s="32" t="s">
        <v>135</v>
      </c>
      <c r="E47" s="32" t="s">
        <v>126</v>
      </c>
      <c r="F47" s="32" t="s">
        <v>127</v>
      </c>
      <c r="G47" s="32" t="s">
        <v>128</v>
      </c>
      <c r="H47" s="32">
        <v>1</v>
      </c>
      <c r="I47" s="32" t="s">
        <v>129</v>
      </c>
      <c r="J47" s="32" t="s">
        <v>130</v>
      </c>
      <c r="K47" s="32" t="s">
        <v>201</v>
      </c>
      <c r="L47" s="33" t="s">
        <v>133</v>
      </c>
      <c r="M47" s="34" t="s">
        <v>132</v>
      </c>
      <c r="N47" s="30">
        <v>31</v>
      </c>
      <c r="O47" s="31">
        <v>1</v>
      </c>
      <c r="P47" s="31"/>
      <c r="Q47" s="31"/>
      <c r="R47" s="31"/>
    </row>
    <row r="48" spans="1:18" x14ac:dyDescent="0.2">
      <c r="A48" s="32" t="s">
        <v>202</v>
      </c>
      <c r="B48" s="32">
        <v>32</v>
      </c>
      <c r="C48" s="32">
        <v>72</v>
      </c>
      <c r="D48" s="32" t="s">
        <v>125</v>
      </c>
      <c r="E48" s="32" t="s">
        <v>126</v>
      </c>
      <c r="F48" s="32" t="s">
        <v>127</v>
      </c>
      <c r="G48" s="32" t="s">
        <v>128</v>
      </c>
      <c r="H48" s="32">
        <v>1</v>
      </c>
      <c r="I48" s="32" t="s">
        <v>129</v>
      </c>
      <c r="J48" s="32" t="s">
        <v>130</v>
      </c>
      <c r="K48" s="32" t="s">
        <v>203</v>
      </c>
      <c r="L48" s="33" t="s">
        <v>133</v>
      </c>
      <c r="M48" s="34" t="s">
        <v>132</v>
      </c>
      <c r="N48" s="30">
        <v>32</v>
      </c>
      <c r="O48" s="31">
        <v>1</v>
      </c>
      <c r="P48" s="31"/>
      <c r="Q48" s="31"/>
      <c r="R48" s="31"/>
    </row>
    <row r="49" spans="1:18" x14ac:dyDescent="0.2">
      <c r="A49" s="32" t="s">
        <v>204</v>
      </c>
      <c r="B49" s="32">
        <v>33</v>
      </c>
      <c r="C49" s="32">
        <v>38</v>
      </c>
      <c r="D49" s="32" t="s">
        <v>125</v>
      </c>
      <c r="E49" s="32" t="s">
        <v>126</v>
      </c>
      <c r="F49" s="32" t="s">
        <v>127</v>
      </c>
      <c r="G49" s="32" t="s">
        <v>128</v>
      </c>
      <c r="H49" s="32" t="s">
        <v>198</v>
      </c>
      <c r="I49" s="32" t="s">
        <v>129</v>
      </c>
      <c r="J49" s="32" t="s">
        <v>130</v>
      </c>
      <c r="K49" s="32" t="s">
        <v>205</v>
      </c>
      <c r="L49" s="33" t="s">
        <v>147</v>
      </c>
      <c r="M49" s="34" t="s">
        <v>132</v>
      </c>
      <c r="N49" s="30">
        <v>33</v>
      </c>
      <c r="O49" s="31"/>
      <c r="P49" s="31"/>
      <c r="Q49" s="31">
        <v>1</v>
      </c>
      <c r="R49" s="31"/>
    </row>
    <row r="50" spans="1:18" x14ac:dyDescent="0.2">
      <c r="A50" s="32" t="s">
        <v>206</v>
      </c>
      <c r="B50" s="32">
        <v>34</v>
      </c>
      <c r="C50" s="32">
        <v>82</v>
      </c>
      <c r="D50" s="32" t="s">
        <v>125</v>
      </c>
      <c r="E50" s="32" t="s">
        <v>126</v>
      </c>
      <c r="F50" s="32" t="s">
        <v>127</v>
      </c>
      <c r="G50" s="32" t="s">
        <v>128</v>
      </c>
      <c r="H50" s="32">
        <v>1</v>
      </c>
      <c r="I50" s="32" t="s">
        <v>129</v>
      </c>
      <c r="J50" s="32" t="s">
        <v>130</v>
      </c>
      <c r="K50" s="32" t="s">
        <v>207</v>
      </c>
      <c r="L50" s="33" t="s">
        <v>147</v>
      </c>
      <c r="M50" s="34" t="s">
        <v>132</v>
      </c>
      <c r="N50" s="30">
        <v>34</v>
      </c>
      <c r="O50" s="31"/>
      <c r="P50" s="31"/>
      <c r="Q50" s="31">
        <v>1</v>
      </c>
      <c r="R50" s="31"/>
    </row>
    <row r="51" spans="1:18" x14ac:dyDescent="0.2">
      <c r="A51" s="32" t="s">
        <v>208</v>
      </c>
      <c r="B51" s="32">
        <v>35</v>
      </c>
      <c r="C51" s="32">
        <v>50</v>
      </c>
      <c r="D51" s="32" t="s">
        <v>125</v>
      </c>
      <c r="E51" s="32" t="s">
        <v>126</v>
      </c>
      <c r="F51" s="32" t="s">
        <v>127</v>
      </c>
      <c r="G51" s="32" t="s">
        <v>140</v>
      </c>
      <c r="H51" s="32">
        <v>1</v>
      </c>
      <c r="I51" s="32" t="s">
        <v>141</v>
      </c>
      <c r="J51" s="32" t="s">
        <v>130</v>
      </c>
      <c r="K51" s="32" t="s">
        <v>209</v>
      </c>
      <c r="L51" s="33" t="s">
        <v>147</v>
      </c>
      <c r="M51" s="34" t="s">
        <v>132</v>
      </c>
      <c r="N51" s="30">
        <v>35</v>
      </c>
      <c r="O51" s="31"/>
      <c r="P51" s="31"/>
      <c r="Q51" s="31">
        <v>1</v>
      </c>
      <c r="R51" s="31"/>
    </row>
    <row r="52" spans="1:18" x14ac:dyDescent="0.2">
      <c r="A52" s="32" t="s">
        <v>210</v>
      </c>
      <c r="B52" s="32">
        <v>36</v>
      </c>
      <c r="C52" s="32">
        <v>64</v>
      </c>
      <c r="D52" s="32" t="s">
        <v>135</v>
      </c>
      <c r="E52" s="32" t="s">
        <v>126</v>
      </c>
      <c r="F52" s="32" t="s">
        <v>127</v>
      </c>
      <c r="G52" s="32" t="s">
        <v>128</v>
      </c>
      <c r="H52" s="32">
        <v>1</v>
      </c>
      <c r="I52" s="32" t="s">
        <v>129</v>
      </c>
      <c r="J52" s="32" t="s">
        <v>130</v>
      </c>
      <c r="K52" s="32" t="s">
        <v>211</v>
      </c>
      <c r="L52" s="33" t="s">
        <v>132</v>
      </c>
      <c r="M52" s="34" t="s">
        <v>133</v>
      </c>
      <c r="N52" s="30">
        <v>36</v>
      </c>
      <c r="O52" s="31">
        <v>1</v>
      </c>
      <c r="P52" s="31"/>
      <c r="Q52" s="31"/>
      <c r="R52" s="31"/>
    </row>
    <row r="53" spans="1:18" x14ac:dyDescent="0.2">
      <c r="A53" s="35" t="s">
        <v>212</v>
      </c>
      <c r="B53" s="35">
        <v>37</v>
      </c>
      <c r="C53" s="35">
        <v>73</v>
      </c>
      <c r="D53" s="35" t="s">
        <v>125</v>
      </c>
      <c r="E53" s="35" t="s">
        <v>126</v>
      </c>
      <c r="F53" s="35" t="s">
        <v>127</v>
      </c>
      <c r="G53" s="35" t="s">
        <v>128</v>
      </c>
      <c r="H53" s="35">
        <v>1</v>
      </c>
      <c r="I53" s="35" t="s">
        <v>129</v>
      </c>
      <c r="J53" s="35" t="s">
        <v>130</v>
      </c>
      <c r="K53" s="35" t="s">
        <v>213</v>
      </c>
      <c r="L53" s="36" t="s">
        <v>132</v>
      </c>
      <c r="M53" s="37" t="s">
        <v>132</v>
      </c>
      <c r="N53" s="38">
        <v>37</v>
      </c>
      <c r="O53" s="39">
        <v>1</v>
      </c>
      <c r="P53" s="39"/>
      <c r="Q53" s="39"/>
      <c r="R53" s="39"/>
    </row>
    <row r="54" spans="1:18" x14ac:dyDescent="0.2">
      <c r="A54" s="32" t="s">
        <v>214</v>
      </c>
      <c r="B54" s="32">
        <v>38</v>
      </c>
      <c r="C54" s="32">
        <v>45</v>
      </c>
      <c r="D54" s="32" t="s">
        <v>135</v>
      </c>
      <c r="E54" s="32" t="s">
        <v>126</v>
      </c>
      <c r="F54" s="32" t="s">
        <v>127</v>
      </c>
      <c r="G54" s="32" t="s">
        <v>128</v>
      </c>
      <c r="H54" s="32">
        <v>1</v>
      </c>
      <c r="I54" s="32" t="s">
        <v>129</v>
      </c>
      <c r="J54" s="32" t="s">
        <v>130</v>
      </c>
      <c r="K54" s="32" t="s">
        <v>215</v>
      </c>
      <c r="L54" s="33" t="s">
        <v>175</v>
      </c>
      <c r="M54" s="34" t="s">
        <v>175</v>
      </c>
      <c r="N54" s="30">
        <v>38</v>
      </c>
      <c r="O54" s="31"/>
      <c r="P54" s="31"/>
      <c r="Q54" s="31"/>
      <c r="R54" s="31">
        <v>1</v>
      </c>
    </row>
    <row r="55" spans="1:18" x14ac:dyDescent="0.2">
      <c r="A55" s="32" t="s">
        <v>216</v>
      </c>
      <c r="B55" s="32">
        <v>39</v>
      </c>
      <c r="C55" s="32">
        <v>61</v>
      </c>
      <c r="D55" s="32" t="s">
        <v>125</v>
      </c>
      <c r="E55" s="32" t="s">
        <v>126</v>
      </c>
      <c r="F55" s="32" t="s">
        <v>127</v>
      </c>
      <c r="G55" s="32" t="s">
        <v>217</v>
      </c>
      <c r="H55" s="32">
        <v>1</v>
      </c>
      <c r="I55" s="32" t="s">
        <v>218</v>
      </c>
      <c r="J55" s="32" t="s">
        <v>130</v>
      </c>
      <c r="K55" s="32" t="s">
        <v>219</v>
      </c>
      <c r="L55" s="33" t="s">
        <v>132</v>
      </c>
      <c r="M55" s="34" t="s">
        <v>132</v>
      </c>
      <c r="N55" s="30">
        <v>39</v>
      </c>
      <c r="O55" s="31">
        <v>1</v>
      </c>
      <c r="P55" s="31"/>
      <c r="Q55" s="31"/>
      <c r="R55" s="31"/>
    </row>
    <row r="56" spans="1:18" x14ac:dyDescent="0.2">
      <c r="A56" s="32" t="s">
        <v>220</v>
      </c>
      <c r="B56" s="32">
        <v>40</v>
      </c>
      <c r="C56" s="32">
        <v>51</v>
      </c>
      <c r="D56" s="32" t="s">
        <v>125</v>
      </c>
      <c r="E56" s="32" t="s">
        <v>126</v>
      </c>
      <c r="F56" s="32" t="s">
        <v>127</v>
      </c>
      <c r="G56" s="32" t="s">
        <v>140</v>
      </c>
      <c r="H56" s="32">
        <v>1</v>
      </c>
      <c r="I56" s="32" t="s">
        <v>141</v>
      </c>
      <c r="J56" s="32" t="s">
        <v>130</v>
      </c>
      <c r="K56" s="32" t="s">
        <v>221</v>
      </c>
      <c r="L56" s="33" t="s">
        <v>132</v>
      </c>
      <c r="M56" s="34" t="s">
        <v>132</v>
      </c>
      <c r="N56" s="30">
        <v>40</v>
      </c>
      <c r="O56" s="31">
        <v>1</v>
      </c>
      <c r="P56" s="31"/>
      <c r="Q56" s="31"/>
      <c r="R56" s="31"/>
    </row>
    <row r="57" spans="1:18" x14ac:dyDescent="0.2">
      <c r="A57" s="32" t="s">
        <v>222</v>
      </c>
      <c r="B57" s="32">
        <v>41</v>
      </c>
      <c r="C57" s="32">
        <v>67</v>
      </c>
      <c r="D57" s="32" t="s">
        <v>125</v>
      </c>
      <c r="E57" s="32" t="s">
        <v>126</v>
      </c>
      <c r="F57" s="32" t="s">
        <v>127</v>
      </c>
      <c r="G57" s="32" t="s">
        <v>128</v>
      </c>
      <c r="H57" s="32">
        <v>1</v>
      </c>
      <c r="I57" s="32" t="s">
        <v>129</v>
      </c>
      <c r="J57" s="32" t="s">
        <v>130</v>
      </c>
      <c r="K57" s="32" t="s">
        <v>223</v>
      </c>
      <c r="L57" s="33" t="s">
        <v>175</v>
      </c>
      <c r="M57" s="34" t="s">
        <v>175</v>
      </c>
      <c r="N57" s="30">
        <v>41</v>
      </c>
      <c r="O57" s="31"/>
      <c r="P57" s="31"/>
      <c r="Q57" s="31"/>
      <c r="R57" s="31">
        <v>1</v>
      </c>
    </row>
    <row r="58" spans="1:18" x14ac:dyDescent="0.2">
      <c r="A58" s="32" t="s">
        <v>224</v>
      </c>
      <c r="B58" s="32">
        <v>42</v>
      </c>
      <c r="C58" s="32">
        <v>57</v>
      </c>
      <c r="D58" s="32" t="s">
        <v>125</v>
      </c>
      <c r="E58" s="32" t="s">
        <v>126</v>
      </c>
      <c r="F58" s="32" t="s">
        <v>127</v>
      </c>
      <c r="G58" s="32" t="s">
        <v>128</v>
      </c>
      <c r="H58" s="32">
        <v>1</v>
      </c>
      <c r="I58" s="32" t="s">
        <v>129</v>
      </c>
      <c r="J58" s="32" t="s">
        <v>130</v>
      </c>
      <c r="K58" s="32" t="s">
        <v>225</v>
      </c>
      <c r="L58" s="33" t="s">
        <v>147</v>
      </c>
      <c r="M58" s="34" t="s">
        <v>175</v>
      </c>
      <c r="N58" s="30">
        <v>42</v>
      </c>
      <c r="O58" s="31"/>
      <c r="P58" s="31"/>
      <c r="Q58" s="31"/>
      <c r="R58" s="31">
        <v>1</v>
      </c>
    </row>
    <row r="59" spans="1:18" x14ac:dyDescent="0.2">
      <c r="A59" s="32" t="s">
        <v>226</v>
      </c>
      <c r="B59" s="32">
        <v>43</v>
      </c>
      <c r="C59" s="32">
        <v>65</v>
      </c>
      <c r="D59" s="32" t="s">
        <v>125</v>
      </c>
      <c r="E59" s="32" t="s">
        <v>126</v>
      </c>
      <c r="F59" s="32" t="s">
        <v>127</v>
      </c>
      <c r="G59" s="32" t="s">
        <v>217</v>
      </c>
      <c r="H59" s="32" t="s">
        <v>227</v>
      </c>
      <c r="I59" s="32" t="s">
        <v>218</v>
      </c>
      <c r="J59" s="32" t="s">
        <v>130</v>
      </c>
      <c r="K59" s="32" t="s">
        <v>228</v>
      </c>
      <c r="L59" s="33" t="s">
        <v>132</v>
      </c>
      <c r="M59" s="34" t="s">
        <v>133</v>
      </c>
      <c r="N59" s="30">
        <v>43</v>
      </c>
      <c r="O59" s="31">
        <v>1</v>
      </c>
      <c r="P59" s="31"/>
      <c r="Q59" s="31"/>
      <c r="R59" s="31"/>
    </row>
    <row r="60" spans="1:18" x14ac:dyDescent="0.2">
      <c r="A60" s="32" t="s">
        <v>229</v>
      </c>
      <c r="B60" s="32">
        <v>44</v>
      </c>
      <c r="C60" s="32">
        <v>45</v>
      </c>
      <c r="D60" s="32" t="s">
        <v>125</v>
      </c>
      <c r="E60" s="32" t="s">
        <v>126</v>
      </c>
      <c r="F60" s="32" t="s">
        <v>127</v>
      </c>
      <c r="G60" s="32" t="s">
        <v>128</v>
      </c>
      <c r="H60" s="32" t="s">
        <v>227</v>
      </c>
      <c r="I60" s="32" t="s">
        <v>129</v>
      </c>
      <c r="J60" s="32" t="s">
        <v>130</v>
      </c>
      <c r="K60" s="32" t="s">
        <v>230</v>
      </c>
      <c r="L60" s="33" t="s">
        <v>132</v>
      </c>
      <c r="M60" s="34" t="s">
        <v>132</v>
      </c>
      <c r="N60" s="30">
        <v>44</v>
      </c>
      <c r="O60" s="31">
        <v>1</v>
      </c>
      <c r="P60" s="31"/>
      <c r="Q60" s="31"/>
      <c r="R60" s="31"/>
    </row>
    <row r="61" spans="1:18" x14ac:dyDescent="0.2">
      <c r="A61" s="32" t="s">
        <v>231</v>
      </c>
      <c r="B61" s="32">
        <v>45</v>
      </c>
      <c r="C61" s="32">
        <v>73</v>
      </c>
      <c r="D61" s="32" t="s">
        <v>135</v>
      </c>
      <c r="E61" s="32" t="s">
        <v>126</v>
      </c>
      <c r="F61" s="32" t="s">
        <v>127</v>
      </c>
      <c r="G61" s="32" t="s">
        <v>128</v>
      </c>
      <c r="H61" s="32">
        <v>1</v>
      </c>
      <c r="I61" s="32" t="s">
        <v>129</v>
      </c>
      <c r="J61" s="32" t="s">
        <v>130</v>
      </c>
      <c r="K61" s="32" t="s">
        <v>232</v>
      </c>
      <c r="L61" s="33" t="s">
        <v>132</v>
      </c>
      <c r="M61" s="34" t="s">
        <v>133</v>
      </c>
      <c r="N61" s="30">
        <v>45</v>
      </c>
      <c r="O61" s="31">
        <v>1</v>
      </c>
      <c r="P61" s="31"/>
      <c r="Q61" s="31"/>
      <c r="R61" s="31"/>
    </row>
    <row r="62" spans="1:18" x14ac:dyDescent="0.2">
      <c r="A62" s="32" t="s">
        <v>233</v>
      </c>
      <c r="B62" s="32">
        <v>46</v>
      </c>
      <c r="C62" s="32">
        <v>50</v>
      </c>
      <c r="D62" s="32" t="s">
        <v>125</v>
      </c>
      <c r="E62" s="32" t="s">
        <v>126</v>
      </c>
      <c r="F62" s="32" t="s">
        <v>127</v>
      </c>
      <c r="G62" s="32" t="s">
        <v>128</v>
      </c>
      <c r="H62" s="32">
        <v>1</v>
      </c>
      <c r="I62" s="32" t="s">
        <v>129</v>
      </c>
      <c r="J62" s="32" t="s">
        <v>130</v>
      </c>
      <c r="K62" s="32" t="s">
        <v>234</v>
      </c>
      <c r="L62" s="33" t="s">
        <v>175</v>
      </c>
      <c r="M62" s="34" t="s">
        <v>175</v>
      </c>
      <c r="N62" s="30">
        <v>46</v>
      </c>
      <c r="O62" s="31"/>
      <c r="P62" s="31"/>
      <c r="Q62" s="31"/>
      <c r="R62" s="31">
        <v>1</v>
      </c>
    </row>
    <row r="63" spans="1:18" x14ac:dyDescent="0.2">
      <c r="A63" s="32" t="s">
        <v>235</v>
      </c>
      <c r="B63" s="32">
        <v>47</v>
      </c>
      <c r="C63" s="32">
        <v>66</v>
      </c>
      <c r="D63" s="32" t="s">
        <v>125</v>
      </c>
      <c r="E63" s="32" t="s">
        <v>126</v>
      </c>
      <c r="F63" s="32" t="s">
        <v>127</v>
      </c>
      <c r="G63" s="32" t="s">
        <v>128</v>
      </c>
      <c r="H63" s="32">
        <v>1</v>
      </c>
      <c r="I63" s="32" t="s">
        <v>129</v>
      </c>
      <c r="J63" s="32" t="s">
        <v>130</v>
      </c>
      <c r="K63" s="32" t="s">
        <v>236</v>
      </c>
      <c r="L63" s="33" t="s">
        <v>133</v>
      </c>
      <c r="M63" s="34" t="s">
        <v>133</v>
      </c>
      <c r="N63" s="30">
        <v>47</v>
      </c>
      <c r="O63" s="31">
        <v>1</v>
      </c>
      <c r="P63" s="31"/>
      <c r="Q63" s="31"/>
      <c r="R63" s="31"/>
    </row>
    <row r="64" spans="1:18" x14ac:dyDescent="0.2">
      <c r="A64" s="32" t="s">
        <v>237</v>
      </c>
      <c r="B64" s="32">
        <v>48</v>
      </c>
      <c r="C64" s="32">
        <v>79</v>
      </c>
      <c r="D64" s="32" t="s">
        <v>125</v>
      </c>
      <c r="E64" s="32" t="s">
        <v>126</v>
      </c>
      <c r="F64" s="32" t="s">
        <v>127</v>
      </c>
      <c r="G64" s="32" t="s">
        <v>140</v>
      </c>
      <c r="H64" s="32">
        <v>1</v>
      </c>
      <c r="I64" s="32" t="s">
        <v>141</v>
      </c>
      <c r="J64" s="32" t="s">
        <v>130</v>
      </c>
      <c r="K64" s="32" t="s">
        <v>238</v>
      </c>
      <c r="L64" s="33" t="s">
        <v>175</v>
      </c>
      <c r="M64" s="34" t="s">
        <v>133</v>
      </c>
      <c r="N64" s="30">
        <v>48</v>
      </c>
      <c r="O64" s="31"/>
      <c r="P64" s="31"/>
      <c r="Q64" s="31">
        <v>1</v>
      </c>
      <c r="R64" s="31"/>
    </row>
    <row r="65" spans="1:18" x14ac:dyDescent="0.2">
      <c r="A65" s="32" t="s">
        <v>239</v>
      </c>
      <c r="B65" s="32">
        <v>49</v>
      </c>
      <c r="C65" s="32">
        <v>53</v>
      </c>
      <c r="D65" s="32" t="s">
        <v>135</v>
      </c>
      <c r="E65" s="32" t="s">
        <v>126</v>
      </c>
      <c r="F65" s="32" t="s">
        <v>127</v>
      </c>
      <c r="G65" s="32" t="s">
        <v>128</v>
      </c>
      <c r="H65" s="32">
        <v>2</v>
      </c>
      <c r="I65" s="32" t="s">
        <v>129</v>
      </c>
      <c r="J65" s="32" t="s">
        <v>130</v>
      </c>
      <c r="K65" s="32" t="s">
        <v>240</v>
      </c>
      <c r="L65" s="33" t="s">
        <v>132</v>
      </c>
      <c r="M65" s="34" t="s">
        <v>132</v>
      </c>
      <c r="N65" s="30">
        <v>49</v>
      </c>
      <c r="O65" s="31">
        <v>1</v>
      </c>
      <c r="P65" s="31"/>
      <c r="Q65" s="31"/>
      <c r="R65" s="31"/>
    </row>
    <row r="66" spans="1:18" x14ac:dyDescent="0.2">
      <c r="A66" s="32" t="s">
        <v>241</v>
      </c>
      <c r="B66" s="32">
        <v>50</v>
      </c>
      <c r="C66" s="32">
        <v>60</v>
      </c>
      <c r="D66" s="32" t="s">
        <v>125</v>
      </c>
      <c r="E66" s="32" t="s">
        <v>126</v>
      </c>
      <c r="F66" s="32" t="s">
        <v>127</v>
      </c>
      <c r="G66" s="32" t="s">
        <v>128</v>
      </c>
      <c r="H66" s="32">
        <v>2</v>
      </c>
      <c r="I66" s="32" t="s">
        <v>129</v>
      </c>
      <c r="J66" s="32" t="s">
        <v>130</v>
      </c>
      <c r="K66" s="32" t="s">
        <v>242</v>
      </c>
      <c r="L66" s="33" t="s">
        <v>147</v>
      </c>
      <c r="M66" s="34" t="s">
        <v>133</v>
      </c>
      <c r="N66" s="30">
        <v>50</v>
      </c>
      <c r="O66" s="31"/>
      <c r="P66" s="31"/>
      <c r="Q66" s="31">
        <v>1</v>
      </c>
      <c r="R66" s="31"/>
    </row>
    <row r="67" spans="1:18" x14ac:dyDescent="0.2">
      <c r="A67" s="32" t="s">
        <v>243</v>
      </c>
      <c r="B67" s="32">
        <v>51</v>
      </c>
      <c r="C67" s="32">
        <v>59</v>
      </c>
      <c r="D67" s="32" t="s">
        <v>125</v>
      </c>
      <c r="E67" s="32" t="s">
        <v>126</v>
      </c>
      <c r="F67" s="32" t="s">
        <v>127</v>
      </c>
      <c r="G67" s="32" t="s">
        <v>128</v>
      </c>
      <c r="H67" s="32">
        <v>2</v>
      </c>
      <c r="I67" s="32" t="s">
        <v>129</v>
      </c>
      <c r="J67" s="32" t="s">
        <v>130</v>
      </c>
      <c r="K67" s="32" t="s">
        <v>244</v>
      </c>
      <c r="L67" s="33" t="s">
        <v>175</v>
      </c>
      <c r="M67" s="34" t="s">
        <v>175</v>
      </c>
      <c r="N67" s="30">
        <v>51</v>
      </c>
      <c r="O67" s="31"/>
      <c r="P67" s="31"/>
      <c r="Q67" s="31"/>
      <c r="R67" s="31">
        <v>1</v>
      </c>
    </row>
    <row r="68" spans="1:18" x14ac:dyDescent="0.2">
      <c r="A68" s="32" t="s">
        <v>245</v>
      </c>
      <c r="B68" s="32">
        <v>52</v>
      </c>
      <c r="C68" s="32">
        <v>68</v>
      </c>
      <c r="D68" s="32" t="s">
        <v>135</v>
      </c>
      <c r="E68" s="32" t="s">
        <v>126</v>
      </c>
      <c r="F68" s="32" t="s">
        <v>127</v>
      </c>
      <c r="G68" s="32" t="s">
        <v>128</v>
      </c>
      <c r="H68" s="32">
        <v>2</v>
      </c>
      <c r="I68" s="32" t="s">
        <v>129</v>
      </c>
      <c r="J68" s="32" t="s">
        <v>130</v>
      </c>
      <c r="K68" s="32" t="s">
        <v>246</v>
      </c>
      <c r="L68" s="33" t="s">
        <v>133</v>
      </c>
      <c r="M68" s="34" t="s">
        <v>175</v>
      </c>
      <c r="N68" s="30">
        <v>52</v>
      </c>
      <c r="O68" s="31"/>
      <c r="P68" s="31">
        <v>1</v>
      </c>
      <c r="Q68" s="31"/>
      <c r="R68" s="31"/>
    </row>
    <row r="69" spans="1:18" x14ac:dyDescent="0.2">
      <c r="A69" s="32" t="s">
        <v>247</v>
      </c>
      <c r="B69" s="32">
        <v>53</v>
      </c>
      <c r="C69" s="32">
        <v>67</v>
      </c>
      <c r="D69" s="32" t="s">
        <v>125</v>
      </c>
      <c r="E69" s="32" t="s">
        <v>126</v>
      </c>
      <c r="F69" s="32" t="s">
        <v>127</v>
      </c>
      <c r="G69" s="32" t="s">
        <v>217</v>
      </c>
      <c r="H69" s="32">
        <v>2</v>
      </c>
      <c r="I69" s="32" t="s">
        <v>218</v>
      </c>
      <c r="J69" s="32" t="s">
        <v>130</v>
      </c>
      <c r="K69" s="32" t="s">
        <v>248</v>
      </c>
      <c r="L69" s="33" t="s">
        <v>132</v>
      </c>
      <c r="M69" s="34" t="s">
        <v>132</v>
      </c>
      <c r="N69" s="30">
        <v>53</v>
      </c>
      <c r="O69" s="31">
        <v>1</v>
      </c>
      <c r="P69" s="31"/>
      <c r="Q69" s="31"/>
      <c r="R69" s="31"/>
    </row>
    <row r="70" spans="1:18" x14ac:dyDescent="0.2">
      <c r="A70" s="32" t="s">
        <v>249</v>
      </c>
      <c r="B70" s="32">
        <v>54</v>
      </c>
      <c r="C70" s="32">
        <v>61</v>
      </c>
      <c r="D70" s="32" t="s">
        <v>125</v>
      </c>
      <c r="E70" s="32" t="s">
        <v>126</v>
      </c>
      <c r="F70" s="32" t="s">
        <v>127</v>
      </c>
      <c r="G70" s="32" t="s">
        <v>128</v>
      </c>
      <c r="H70" s="32">
        <v>2</v>
      </c>
      <c r="I70" s="32" t="s">
        <v>129</v>
      </c>
      <c r="J70" s="32" t="s">
        <v>130</v>
      </c>
      <c r="K70" s="32" t="s">
        <v>250</v>
      </c>
      <c r="L70" s="33" t="s">
        <v>133</v>
      </c>
      <c r="M70" s="34" t="s">
        <v>132</v>
      </c>
      <c r="N70" s="30">
        <v>54</v>
      </c>
      <c r="O70" s="31">
        <v>1</v>
      </c>
      <c r="P70" s="31"/>
      <c r="Q70" s="31"/>
      <c r="R70" s="31"/>
    </row>
    <row r="71" spans="1:18" x14ac:dyDescent="0.2">
      <c r="A71" s="32" t="s">
        <v>251</v>
      </c>
      <c r="B71" s="32">
        <v>55</v>
      </c>
      <c r="C71" s="32">
        <v>60</v>
      </c>
      <c r="D71" s="32" t="s">
        <v>125</v>
      </c>
      <c r="E71" s="32" t="s">
        <v>126</v>
      </c>
      <c r="F71" s="32" t="s">
        <v>127</v>
      </c>
      <c r="G71" s="32" t="s">
        <v>128</v>
      </c>
      <c r="H71" s="32">
        <v>2</v>
      </c>
      <c r="I71" s="32" t="s">
        <v>129</v>
      </c>
      <c r="J71" s="32" t="s">
        <v>130</v>
      </c>
      <c r="K71" s="32" t="s">
        <v>252</v>
      </c>
      <c r="L71" s="33" t="s">
        <v>175</v>
      </c>
      <c r="M71" s="34" t="s">
        <v>132</v>
      </c>
      <c r="N71" s="30">
        <v>55</v>
      </c>
      <c r="O71" s="31"/>
      <c r="P71" s="31"/>
      <c r="Q71" s="31">
        <v>1</v>
      </c>
      <c r="R71" s="31"/>
    </row>
    <row r="72" spans="1:18" x14ac:dyDescent="0.2">
      <c r="A72" s="32" t="s">
        <v>253</v>
      </c>
      <c r="B72" s="32">
        <v>56</v>
      </c>
      <c r="C72" s="32">
        <v>62</v>
      </c>
      <c r="D72" s="32" t="s">
        <v>125</v>
      </c>
      <c r="E72" s="32" t="s">
        <v>126</v>
      </c>
      <c r="F72" s="32" t="s">
        <v>127</v>
      </c>
      <c r="G72" s="32" t="s">
        <v>254</v>
      </c>
      <c r="H72" s="32">
        <v>2</v>
      </c>
      <c r="I72" s="32" t="s">
        <v>255</v>
      </c>
      <c r="J72" s="32" t="s">
        <v>130</v>
      </c>
      <c r="K72" s="32" t="s">
        <v>256</v>
      </c>
      <c r="L72" s="33" t="s">
        <v>132</v>
      </c>
      <c r="M72" s="34" t="s">
        <v>132</v>
      </c>
      <c r="N72" s="30">
        <v>56</v>
      </c>
      <c r="O72" s="31">
        <v>1</v>
      </c>
      <c r="P72" s="31"/>
      <c r="Q72" s="31"/>
      <c r="R72" s="31"/>
    </row>
    <row r="73" spans="1:18" x14ac:dyDescent="0.2">
      <c r="A73" s="32" t="s">
        <v>257</v>
      </c>
      <c r="B73" s="32">
        <v>57</v>
      </c>
      <c r="C73" s="32">
        <v>78</v>
      </c>
      <c r="D73" s="32" t="s">
        <v>125</v>
      </c>
      <c r="E73" s="32" t="s">
        <v>126</v>
      </c>
      <c r="F73" s="32" t="s">
        <v>127</v>
      </c>
      <c r="G73" s="32" t="s">
        <v>217</v>
      </c>
      <c r="H73" s="32">
        <v>2</v>
      </c>
      <c r="I73" s="32" t="s">
        <v>218</v>
      </c>
      <c r="J73" s="32" t="s">
        <v>130</v>
      </c>
      <c r="K73" s="32" t="s">
        <v>258</v>
      </c>
      <c r="L73" s="33" t="s">
        <v>132</v>
      </c>
      <c r="M73" s="34" t="s">
        <v>147</v>
      </c>
      <c r="N73" s="30">
        <v>57</v>
      </c>
      <c r="O73" s="31"/>
      <c r="P73" s="31">
        <v>1</v>
      </c>
      <c r="Q73" s="31"/>
      <c r="R73" s="31"/>
    </row>
    <row r="74" spans="1:18" x14ac:dyDescent="0.2">
      <c r="A74" s="32" t="s">
        <v>259</v>
      </c>
      <c r="B74" s="32">
        <v>58</v>
      </c>
      <c r="C74" s="32">
        <v>53</v>
      </c>
      <c r="D74" s="32" t="s">
        <v>125</v>
      </c>
      <c r="E74" s="32" t="s">
        <v>126</v>
      </c>
      <c r="F74" s="32" t="s">
        <v>127</v>
      </c>
      <c r="G74" s="32" t="s">
        <v>128</v>
      </c>
      <c r="H74" s="32">
        <v>2</v>
      </c>
      <c r="I74" s="32" t="s">
        <v>129</v>
      </c>
      <c r="J74" s="32" t="s">
        <v>130</v>
      </c>
      <c r="K74" s="32" t="s">
        <v>260</v>
      </c>
      <c r="L74" s="33" t="s">
        <v>147</v>
      </c>
      <c r="M74" s="34" t="s">
        <v>147</v>
      </c>
      <c r="N74" s="30">
        <v>58</v>
      </c>
      <c r="O74" s="31"/>
      <c r="P74" s="31"/>
      <c r="Q74" s="31"/>
      <c r="R74" s="31">
        <v>1</v>
      </c>
    </row>
    <row r="75" spans="1:18" x14ac:dyDescent="0.2">
      <c r="A75" s="32" t="s">
        <v>261</v>
      </c>
      <c r="B75" s="32">
        <v>59</v>
      </c>
      <c r="C75" s="32">
        <v>57</v>
      </c>
      <c r="D75" s="32" t="s">
        <v>135</v>
      </c>
      <c r="E75" s="32" t="s">
        <v>126</v>
      </c>
      <c r="F75" s="32" t="s">
        <v>262</v>
      </c>
      <c r="G75" s="32" t="s">
        <v>140</v>
      </c>
      <c r="H75" s="32">
        <v>2</v>
      </c>
      <c r="I75" s="32" t="s">
        <v>141</v>
      </c>
      <c r="J75" s="32" t="s">
        <v>130</v>
      </c>
      <c r="K75" s="32" t="s">
        <v>263</v>
      </c>
      <c r="L75" s="33" t="s">
        <v>133</v>
      </c>
      <c r="M75" s="34" t="s">
        <v>147</v>
      </c>
      <c r="N75" s="30">
        <v>59</v>
      </c>
      <c r="O75" s="31"/>
      <c r="P75" s="31">
        <v>1</v>
      </c>
      <c r="Q75" s="31"/>
      <c r="R75" s="31"/>
    </row>
    <row r="76" spans="1:18" x14ac:dyDescent="0.2">
      <c r="A76" s="32" t="s">
        <v>264</v>
      </c>
      <c r="B76" s="32">
        <v>60</v>
      </c>
      <c r="C76" s="32">
        <v>54</v>
      </c>
      <c r="D76" s="32" t="s">
        <v>125</v>
      </c>
      <c r="E76" s="32" t="s">
        <v>126</v>
      </c>
      <c r="F76" s="32" t="s">
        <v>127</v>
      </c>
      <c r="G76" s="32" t="s">
        <v>128</v>
      </c>
      <c r="H76" s="32">
        <v>2</v>
      </c>
      <c r="I76" s="32" t="s">
        <v>129</v>
      </c>
      <c r="J76" s="32" t="s">
        <v>130</v>
      </c>
      <c r="K76" s="32" t="s">
        <v>265</v>
      </c>
      <c r="L76" s="33" t="s">
        <v>175</v>
      </c>
      <c r="M76" s="34" t="s">
        <v>175</v>
      </c>
      <c r="N76" s="30">
        <v>60</v>
      </c>
      <c r="O76" s="31"/>
      <c r="P76" s="31"/>
      <c r="Q76" s="31"/>
      <c r="R76" s="31">
        <v>1</v>
      </c>
    </row>
    <row r="77" spans="1:18" x14ac:dyDescent="0.2">
      <c r="A77" s="32" t="s">
        <v>266</v>
      </c>
      <c r="B77" s="32">
        <v>61</v>
      </c>
      <c r="C77" s="32">
        <v>53</v>
      </c>
      <c r="D77" s="32" t="s">
        <v>135</v>
      </c>
      <c r="E77" s="32" t="s">
        <v>126</v>
      </c>
      <c r="F77" s="32" t="s">
        <v>127</v>
      </c>
      <c r="G77" s="32" t="s">
        <v>140</v>
      </c>
      <c r="H77" s="32">
        <v>2</v>
      </c>
      <c r="I77" s="32" t="s">
        <v>141</v>
      </c>
      <c r="J77" s="32" t="s">
        <v>130</v>
      </c>
      <c r="K77" s="32" t="s">
        <v>267</v>
      </c>
      <c r="L77" s="33" t="s">
        <v>175</v>
      </c>
      <c r="M77" s="34" t="s">
        <v>132</v>
      </c>
      <c r="N77" s="30">
        <v>61</v>
      </c>
      <c r="O77" s="31"/>
      <c r="P77" s="31"/>
      <c r="Q77" s="31">
        <v>1</v>
      </c>
      <c r="R77" s="31"/>
    </row>
    <row r="78" spans="1:18" x14ac:dyDescent="0.2">
      <c r="A78" s="32" t="s">
        <v>268</v>
      </c>
      <c r="B78" s="32">
        <v>62</v>
      </c>
      <c r="C78" s="32">
        <v>79</v>
      </c>
      <c r="D78" s="32" t="s">
        <v>125</v>
      </c>
      <c r="E78" s="32" t="s">
        <v>126</v>
      </c>
      <c r="F78" s="32" t="s">
        <v>127</v>
      </c>
      <c r="G78" s="32" t="s">
        <v>128</v>
      </c>
      <c r="H78" s="32">
        <v>2</v>
      </c>
      <c r="I78" s="32" t="s">
        <v>129</v>
      </c>
      <c r="J78" s="32" t="s">
        <v>130</v>
      </c>
      <c r="K78" s="32" t="s">
        <v>269</v>
      </c>
      <c r="L78" s="33" t="s">
        <v>133</v>
      </c>
      <c r="M78" s="34" t="s">
        <v>132</v>
      </c>
      <c r="N78" s="30">
        <v>62</v>
      </c>
      <c r="O78" s="31">
        <v>1</v>
      </c>
      <c r="P78" s="31"/>
      <c r="Q78" s="31"/>
      <c r="R78" s="31"/>
    </row>
    <row r="79" spans="1:18" x14ac:dyDescent="0.2">
      <c r="A79" s="32" t="s">
        <v>270</v>
      </c>
      <c r="B79" s="32">
        <v>63</v>
      </c>
      <c r="C79" s="32">
        <v>57</v>
      </c>
      <c r="D79" s="32" t="s">
        <v>135</v>
      </c>
      <c r="E79" s="32" t="s">
        <v>126</v>
      </c>
      <c r="F79" s="32" t="s">
        <v>127</v>
      </c>
      <c r="G79" s="32" t="s">
        <v>128</v>
      </c>
      <c r="H79" s="32">
        <v>2</v>
      </c>
      <c r="I79" s="32" t="s">
        <v>129</v>
      </c>
      <c r="J79" s="32" t="s">
        <v>130</v>
      </c>
      <c r="K79" s="32" t="s">
        <v>271</v>
      </c>
      <c r="L79" s="33" t="s">
        <v>147</v>
      </c>
      <c r="M79" s="34" t="s">
        <v>132</v>
      </c>
      <c r="N79" s="30">
        <v>63</v>
      </c>
      <c r="O79" s="31"/>
      <c r="P79" s="31"/>
      <c r="Q79" s="31">
        <v>1</v>
      </c>
      <c r="R79" s="31"/>
    </row>
    <row r="80" spans="1:18" x14ac:dyDescent="0.2">
      <c r="A80" s="32" t="s">
        <v>272</v>
      </c>
      <c r="B80" s="32">
        <v>64</v>
      </c>
      <c r="C80" s="32">
        <v>74</v>
      </c>
      <c r="D80" s="32" t="s">
        <v>125</v>
      </c>
      <c r="E80" s="32" t="s">
        <v>126</v>
      </c>
      <c r="F80" s="32" t="s">
        <v>127</v>
      </c>
      <c r="G80" s="32" t="s">
        <v>140</v>
      </c>
      <c r="H80" s="32">
        <v>2</v>
      </c>
      <c r="I80" s="32" t="s">
        <v>141</v>
      </c>
      <c r="J80" s="32" t="s">
        <v>130</v>
      </c>
      <c r="K80" s="32" t="s">
        <v>273</v>
      </c>
      <c r="L80" s="33" t="s">
        <v>132</v>
      </c>
      <c r="M80" s="34" t="s">
        <v>132</v>
      </c>
      <c r="N80" s="30">
        <v>64</v>
      </c>
      <c r="O80" s="31">
        <v>1</v>
      </c>
      <c r="P80" s="31"/>
      <c r="Q80" s="31"/>
      <c r="R80" s="31"/>
    </row>
    <row r="81" spans="1:18" x14ac:dyDescent="0.2">
      <c r="A81" s="32" t="s">
        <v>274</v>
      </c>
      <c r="B81" s="32">
        <v>65</v>
      </c>
      <c r="C81" s="32">
        <v>51</v>
      </c>
      <c r="D81" s="32" t="s">
        <v>125</v>
      </c>
      <c r="E81" s="32" t="s">
        <v>126</v>
      </c>
      <c r="F81" s="32" t="s">
        <v>127</v>
      </c>
      <c r="G81" s="32" t="s">
        <v>217</v>
      </c>
      <c r="H81" s="32">
        <v>2</v>
      </c>
      <c r="I81" s="32" t="s">
        <v>218</v>
      </c>
      <c r="J81" s="32" t="s">
        <v>130</v>
      </c>
      <c r="K81" s="32" t="s">
        <v>275</v>
      </c>
      <c r="L81" s="33" t="s">
        <v>133</v>
      </c>
      <c r="M81" s="34" t="s">
        <v>132</v>
      </c>
      <c r="N81" s="30">
        <v>65</v>
      </c>
      <c r="O81" s="31">
        <v>1</v>
      </c>
      <c r="P81" s="31"/>
      <c r="Q81" s="31"/>
      <c r="R81" s="31"/>
    </row>
    <row r="82" spans="1:18" x14ac:dyDescent="0.2">
      <c r="A82" s="32" t="s">
        <v>276</v>
      </c>
      <c r="B82" s="32">
        <v>66</v>
      </c>
      <c r="C82" s="32">
        <v>54</v>
      </c>
      <c r="D82" s="32" t="s">
        <v>125</v>
      </c>
      <c r="E82" s="32" t="s">
        <v>126</v>
      </c>
      <c r="F82" s="32" t="s">
        <v>127</v>
      </c>
      <c r="G82" s="32" t="s">
        <v>128</v>
      </c>
      <c r="H82" s="32">
        <v>2</v>
      </c>
      <c r="I82" s="32" t="s">
        <v>129</v>
      </c>
      <c r="J82" s="32" t="s">
        <v>130</v>
      </c>
      <c r="K82" s="32" t="s">
        <v>277</v>
      </c>
      <c r="L82" s="33" t="s">
        <v>133</v>
      </c>
      <c r="M82" s="34" t="s">
        <v>175</v>
      </c>
      <c r="N82" s="30">
        <v>66</v>
      </c>
      <c r="O82" s="31"/>
      <c r="P82" s="31">
        <v>1</v>
      </c>
      <c r="Q82" s="31"/>
      <c r="R82" s="31"/>
    </row>
    <row r="83" spans="1:18" x14ac:dyDescent="0.2">
      <c r="A83" s="32" t="s">
        <v>278</v>
      </c>
      <c r="B83" s="32">
        <v>67</v>
      </c>
      <c r="C83" s="32">
        <v>40</v>
      </c>
      <c r="D83" s="32" t="s">
        <v>125</v>
      </c>
      <c r="E83" s="32" t="s">
        <v>126</v>
      </c>
      <c r="F83" s="32" t="s">
        <v>127</v>
      </c>
      <c r="G83" s="32" t="s">
        <v>128</v>
      </c>
      <c r="H83" s="32">
        <v>2</v>
      </c>
      <c r="I83" s="32" t="s">
        <v>129</v>
      </c>
      <c r="J83" s="32" t="s">
        <v>130</v>
      </c>
      <c r="K83" s="32" t="s">
        <v>279</v>
      </c>
      <c r="L83" s="33" t="s">
        <v>132</v>
      </c>
      <c r="M83" s="34" t="s">
        <v>133</v>
      </c>
      <c r="N83" s="30">
        <v>67</v>
      </c>
      <c r="O83" s="31">
        <v>1</v>
      </c>
      <c r="P83" s="31"/>
      <c r="Q83" s="31"/>
      <c r="R83" s="31"/>
    </row>
    <row r="84" spans="1:18" x14ac:dyDescent="0.2">
      <c r="A84" s="32" t="s">
        <v>280</v>
      </c>
      <c r="B84" s="32">
        <v>68</v>
      </c>
      <c r="C84" s="32">
        <v>65</v>
      </c>
      <c r="D84" s="32" t="s">
        <v>125</v>
      </c>
      <c r="E84" s="32" t="s">
        <v>126</v>
      </c>
      <c r="F84" s="32" t="s">
        <v>127</v>
      </c>
      <c r="G84" s="32" t="s">
        <v>140</v>
      </c>
      <c r="H84" s="32">
        <v>2</v>
      </c>
      <c r="I84" s="32" t="s">
        <v>141</v>
      </c>
      <c r="J84" s="32" t="s">
        <v>130</v>
      </c>
      <c r="K84" s="32" t="s">
        <v>281</v>
      </c>
      <c r="L84" s="33" t="s">
        <v>133</v>
      </c>
      <c r="M84" s="34" t="s">
        <v>132</v>
      </c>
      <c r="N84" s="30">
        <v>68</v>
      </c>
      <c r="O84" s="31">
        <v>1</v>
      </c>
      <c r="P84" s="31"/>
      <c r="Q84" s="31"/>
      <c r="R84" s="31"/>
    </row>
    <row r="85" spans="1:18" x14ac:dyDescent="0.2">
      <c r="A85" s="32" t="s">
        <v>282</v>
      </c>
      <c r="B85" s="32">
        <v>69</v>
      </c>
      <c r="C85" s="32">
        <v>53</v>
      </c>
      <c r="D85" s="32" t="s">
        <v>135</v>
      </c>
      <c r="E85" s="32" t="s">
        <v>126</v>
      </c>
      <c r="F85" s="32" t="s">
        <v>127</v>
      </c>
      <c r="G85" s="32" t="s">
        <v>140</v>
      </c>
      <c r="H85" s="32">
        <v>2</v>
      </c>
      <c r="I85" s="32" t="s">
        <v>141</v>
      </c>
      <c r="J85" s="32" t="s">
        <v>130</v>
      </c>
      <c r="K85" s="32" t="s">
        <v>283</v>
      </c>
      <c r="L85" s="33" t="s">
        <v>133</v>
      </c>
      <c r="M85" s="34" t="s">
        <v>175</v>
      </c>
      <c r="N85" s="30">
        <v>69</v>
      </c>
      <c r="O85" s="31"/>
      <c r="P85" s="31">
        <v>1</v>
      </c>
      <c r="Q85" s="31"/>
      <c r="R85" s="31"/>
    </row>
    <row r="86" spans="1:18" x14ac:dyDescent="0.2">
      <c r="A86" s="32" t="s">
        <v>284</v>
      </c>
      <c r="B86" s="32">
        <v>70</v>
      </c>
      <c r="C86" s="32">
        <v>59</v>
      </c>
      <c r="D86" s="32" t="s">
        <v>125</v>
      </c>
      <c r="E86" s="32" t="s">
        <v>126</v>
      </c>
      <c r="F86" s="32" t="s">
        <v>127</v>
      </c>
      <c r="G86" s="32" t="s">
        <v>140</v>
      </c>
      <c r="H86" s="32">
        <v>2</v>
      </c>
      <c r="I86" s="32" t="s">
        <v>141</v>
      </c>
      <c r="J86" s="32" t="s">
        <v>130</v>
      </c>
      <c r="K86" s="32" t="s">
        <v>285</v>
      </c>
      <c r="L86" s="33" t="s">
        <v>147</v>
      </c>
      <c r="M86" s="34" t="s">
        <v>175</v>
      </c>
      <c r="N86" s="30">
        <v>70</v>
      </c>
      <c r="O86" s="31"/>
      <c r="P86" s="31"/>
      <c r="Q86" s="31"/>
      <c r="R86" s="31">
        <v>1</v>
      </c>
    </row>
    <row r="87" spans="1:18" x14ac:dyDescent="0.2">
      <c r="A87" s="32" t="s">
        <v>286</v>
      </c>
      <c r="B87" s="32">
        <v>71</v>
      </c>
      <c r="C87" s="32">
        <v>62</v>
      </c>
      <c r="D87" s="32" t="s">
        <v>125</v>
      </c>
      <c r="E87" s="32" t="s">
        <v>126</v>
      </c>
      <c r="F87" s="32" t="s">
        <v>127</v>
      </c>
      <c r="G87" s="32" t="s">
        <v>128</v>
      </c>
      <c r="H87" s="32">
        <v>2</v>
      </c>
      <c r="I87" s="32" t="s">
        <v>129</v>
      </c>
      <c r="J87" s="32" t="s">
        <v>130</v>
      </c>
      <c r="K87" s="32" t="s">
        <v>287</v>
      </c>
      <c r="L87" s="33" t="s">
        <v>175</v>
      </c>
      <c r="M87" s="34" t="s">
        <v>133</v>
      </c>
      <c r="N87" s="30">
        <v>71</v>
      </c>
      <c r="O87" s="31"/>
      <c r="P87" s="31"/>
      <c r="Q87" s="31">
        <v>1</v>
      </c>
      <c r="R87" s="31"/>
    </row>
    <row r="88" spans="1:18" x14ac:dyDescent="0.2">
      <c r="A88" s="32" t="s">
        <v>288</v>
      </c>
      <c r="B88" s="32">
        <v>72</v>
      </c>
      <c r="C88" s="32">
        <v>57</v>
      </c>
      <c r="D88" s="32" t="s">
        <v>125</v>
      </c>
      <c r="E88" s="32" t="s">
        <v>126</v>
      </c>
      <c r="F88" s="32" t="s">
        <v>127</v>
      </c>
      <c r="G88" s="32" t="s">
        <v>128</v>
      </c>
      <c r="H88" s="32">
        <v>2</v>
      </c>
      <c r="I88" s="32" t="s">
        <v>129</v>
      </c>
      <c r="J88" s="32" t="s">
        <v>130</v>
      </c>
      <c r="K88" s="32" t="s">
        <v>289</v>
      </c>
      <c r="L88" s="33" t="s">
        <v>133</v>
      </c>
      <c r="M88" s="34" t="s">
        <v>132</v>
      </c>
      <c r="N88" s="30">
        <v>72</v>
      </c>
      <c r="O88" s="31">
        <v>1</v>
      </c>
      <c r="P88" s="31"/>
      <c r="Q88" s="31"/>
      <c r="R88" s="31"/>
    </row>
    <row r="89" spans="1:18" x14ac:dyDescent="0.2">
      <c r="A89" s="32" t="s">
        <v>290</v>
      </c>
      <c r="B89" s="32">
        <v>73</v>
      </c>
      <c r="C89" s="32">
        <v>38</v>
      </c>
      <c r="D89" s="32" t="s">
        <v>125</v>
      </c>
      <c r="E89" s="32" t="s">
        <v>126</v>
      </c>
      <c r="F89" s="32" t="s">
        <v>127</v>
      </c>
      <c r="G89" s="32" t="s">
        <v>140</v>
      </c>
      <c r="H89" s="32" t="s">
        <v>291</v>
      </c>
      <c r="I89" s="32" t="s">
        <v>141</v>
      </c>
      <c r="J89" s="32" t="s">
        <v>130</v>
      </c>
      <c r="K89" s="32" t="s">
        <v>292</v>
      </c>
      <c r="L89" s="33" t="s">
        <v>133</v>
      </c>
      <c r="M89" s="34" t="s">
        <v>132</v>
      </c>
      <c r="N89" s="30">
        <v>73</v>
      </c>
      <c r="O89" s="31">
        <v>1</v>
      </c>
      <c r="P89" s="31"/>
      <c r="Q89" s="31"/>
      <c r="R89" s="31"/>
    </row>
    <row r="90" spans="1:18" x14ac:dyDescent="0.2">
      <c r="A90" s="32" t="s">
        <v>293</v>
      </c>
      <c r="B90" s="32">
        <v>74</v>
      </c>
      <c r="C90" s="32">
        <v>73</v>
      </c>
      <c r="D90" s="32" t="s">
        <v>125</v>
      </c>
      <c r="E90" s="32" t="s">
        <v>126</v>
      </c>
      <c r="F90" s="32" t="s">
        <v>127</v>
      </c>
      <c r="G90" s="32" t="s">
        <v>128</v>
      </c>
      <c r="H90" s="32">
        <v>3</v>
      </c>
      <c r="I90" s="32" t="s">
        <v>129</v>
      </c>
      <c r="J90" s="32" t="s">
        <v>130</v>
      </c>
      <c r="K90" s="32" t="s">
        <v>294</v>
      </c>
      <c r="L90" s="33" t="s">
        <v>133</v>
      </c>
      <c r="M90" s="34" t="s">
        <v>133</v>
      </c>
      <c r="N90" s="30">
        <v>74</v>
      </c>
      <c r="O90" s="31">
        <v>1</v>
      </c>
      <c r="P90" s="31"/>
      <c r="Q90" s="31"/>
      <c r="R90" s="31"/>
    </row>
    <row r="91" spans="1:18" x14ac:dyDescent="0.2">
      <c r="A91" s="32" t="s">
        <v>295</v>
      </c>
      <c r="B91" s="32">
        <v>75</v>
      </c>
      <c r="C91" s="32">
        <v>54</v>
      </c>
      <c r="D91" s="32" t="s">
        <v>125</v>
      </c>
      <c r="E91" s="32" t="s">
        <v>126</v>
      </c>
      <c r="F91" s="32" t="s">
        <v>127</v>
      </c>
      <c r="G91" s="32" t="s">
        <v>128</v>
      </c>
      <c r="H91" s="32">
        <v>2</v>
      </c>
      <c r="I91" s="32" t="s">
        <v>129</v>
      </c>
      <c r="J91" s="32" t="s">
        <v>130</v>
      </c>
      <c r="K91" s="32" t="s">
        <v>296</v>
      </c>
      <c r="L91" s="33" t="s">
        <v>133</v>
      </c>
      <c r="M91" s="34" t="s">
        <v>175</v>
      </c>
      <c r="N91" s="30">
        <v>75</v>
      </c>
      <c r="O91" s="31"/>
      <c r="P91" s="31">
        <v>1</v>
      </c>
      <c r="Q91" s="31"/>
      <c r="R91" s="31"/>
    </row>
    <row r="92" spans="1:18" x14ac:dyDescent="0.2">
      <c r="A92" s="32" t="s">
        <v>297</v>
      </c>
      <c r="B92" s="32">
        <v>76</v>
      </c>
      <c r="C92" s="32">
        <v>54</v>
      </c>
      <c r="D92" s="32" t="s">
        <v>125</v>
      </c>
      <c r="E92" s="32" t="s">
        <v>126</v>
      </c>
      <c r="F92" s="32" t="s">
        <v>127</v>
      </c>
      <c r="G92" s="32" t="s">
        <v>128</v>
      </c>
      <c r="H92" s="32">
        <v>3</v>
      </c>
      <c r="I92" s="32" t="s">
        <v>129</v>
      </c>
      <c r="J92" s="32" t="s">
        <v>130</v>
      </c>
      <c r="K92" s="32" t="s">
        <v>298</v>
      </c>
      <c r="L92" s="33" t="s">
        <v>175</v>
      </c>
      <c r="M92" s="34" t="s">
        <v>175</v>
      </c>
      <c r="N92" s="30">
        <v>76</v>
      </c>
      <c r="O92" s="31"/>
      <c r="P92" s="31"/>
      <c r="Q92" s="31"/>
      <c r="R92" s="31">
        <v>1</v>
      </c>
    </row>
    <row r="93" spans="1:18" x14ac:dyDescent="0.2">
      <c r="A93" s="32" t="s">
        <v>299</v>
      </c>
      <c r="B93" s="32">
        <v>77</v>
      </c>
      <c r="C93" s="32">
        <v>67</v>
      </c>
      <c r="D93" s="32" t="s">
        <v>125</v>
      </c>
      <c r="E93" s="32" t="s">
        <v>126</v>
      </c>
      <c r="F93" s="32" t="s">
        <v>127</v>
      </c>
      <c r="G93" s="32" t="s">
        <v>128</v>
      </c>
      <c r="H93" s="32">
        <v>3</v>
      </c>
      <c r="I93" s="32" t="s">
        <v>129</v>
      </c>
      <c r="J93" s="32" t="s">
        <v>130</v>
      </c>
      <c r="K93" s="32" t="s">
        <v>300</v>
      </c>
      <c r="L93" s="33" t="s">
        <v>175</v>
      </c>
      <c r="M93" s="34" t="s">
        <v>175</v>
      </c>
      <c r="N93" s="30">
        <v>77</v>
      </c>
      <c r="O93" s="31"/>
      <c r="P93" s="31"/>
      <c r="Q93" s="31"/>
      <c r="R93" s="31">
        <v>1</v>
      </c>
    </row>
    <row r="94" spans="1:18" x14ac:dyDescent="0.2">
      <c r="A94" s="32" t="s">
        <v>301</v>
      </c>
      <c r="B94" s="32">
        <v>78</v>
      </c>
      <c r="C94" s="32">
        <v>43</v>
      </c>
      <c r="D94" s="32" t="s">
        <v>135</v>
      </c>
      <c r="E94" s="32" t="s">
        <v>126</v>
      </c>
      <c r="F94" s="32" t="s">
        <v>127</v>
      </c>
      <c r="G94" s="32" t="s">
        <v>128</v>
      </c>
      <c r="H94" s="32">
        <v>3</v>
      </c>
      <c r="I94" s="32" t="s">
        <v>129</v>
      </c>
      <c r="J94" s="32" t="s">
        <v>130</v>
      </c>
      <c r="K94" s="32" t="s">
        <v>302</v>
      </c>
      <c r="L94" s="33" t="s">
        <v>175</v>
      </c>
      <c r="M94" s="34" t="s">
        <v>175</v>
      </c>
      <c r="N94" s="30">
        <v>78</v>
      </c>
      <c r="O94" s="31"/>
      <c r="P94" s="31"/>
      <c r="Q94" s="31"/>
      <c r="R94" s="31">
        <v>1</v>
      </c>
    </row>
    <row r="95" spans="1:18" x14ac:dyDescent="0.2">
      <c r="A95" s="32" t="s">
        <v>303</v>
      </c>
      <c r="B95" s="32">
        <v>79</v>
      </c>
      <c r="C95" s="32">
        <v>43</v>
      </c>
      <c r="D95" s="32" t="s">
        <v>125</v>
      </c>
      <c r="E95" s="32" t="s">
        <v>126</v>
      </c>
      <c r="F95" s="32" t="s">
        <v>127</v>
      </c>
      <c r="G95" s="32" t="s">
        <v>128</v>
      </c>
      <c r="H95" s="32">
        <v>3</v>
      </c>
      <c r="I95" s="32" t="s">
        <v>129</v>
      </c>
      <c r="J95" s="32" t="s">
        <v>130</v>
      </c>
      <c r="K95" s="32" t="s">
        <v>304</v>
      </c>
      <c r="L95" s="33" t="s">
        <v>175</v>
      </c>
      <c r="M95" s="34" t="s">
        <v>132</v>
      </c>
      <c r="N95" s="30">
        <v>79</v>
      </c>
      <c r="O95" s="31"/>
      <c r="P95" s="31"/>
      <c r="Q95" s="31">
        <v>1</v>
      </c>
      <c r="R95" s="31"/>
    </row>
    <row r="96" spans="1:18" x14ac:dyDescent="0.2">
      <c r="A96" s="32" t="s">
        <v>305</v>
      </c>
      <c r="B96" s="32">
        <v>80</v>
      </c>
      <c r="C96" s="32">
        <v>50</v>
      </c>
      <c r="D96" s="32" t="s">
        <v>125</v>
      </c>
      <c r="E96" s="32" t="s">
        <v>126</v>
      </c>
      <c r="F96" s="32" t="s">
        <v>306</v>
      </c>
      <c r="G96" s="32" t="s">
        <v>128</v>
      </c>
      <c r="H96" s="32" t="s">
        <v>307</v>
      </c>
      <c r="I96" s="32" t="s">
        <v>129</v>
      </c>
      <c r="J96" s="32" t="s">
        <v>130</v>
      </c>
      <c r="K96" s="32" t="s">
        <v>308</v>
      </c>
      <c r="L96" s="33" t="s">
        <v>132</v>
      </c>
      <c r="M96" s="34" t="s">
        <v>132</v>
      </c>
      <c r="N96" s="30">
        <v>80</v>
      </c>
      <c r="O96" s="31">
        <v>1</v>
      </c>
      <c r="P96" s="31"/>
      <c r="Q96" s="31"/>
      <c r="R96" s="31"/>
    </row>
    <row r="97" spans="1:18" x14ac:dyDescent="0.2">
      <c r="A97" s="32" t="s">
        <v>309</v>
      </c>
      <c r="B97" s="32">
        <v>81</v>
      </c>
      <c r="C97" s="32">
        <v>39</v>
      </c>
      <c r="D97" s="32" t="s">
        <v>135</v>
      </c>
      <c r="E97" s="32" t="s">
        <v>126</v>
      </c>
      <c r="F97" s="32" t="s">
        <v>306</v>
      </c>
      <c r="G97" s="32" t="s">
        <v>128</v>
      </c>
      <c r="H97" s="32" t="s">
        <v>307</v>
      </c>
      <c r="I97" s="32" t="s">
        <v>129</v>
      </c>
      <c r="J97" s="32" t="s">
        <v>130</v>
      </c>
      <c r="K97" s="32" t="s">
        <v>310</v>
      </c>
      <c r="L97" s="33" t="s">
        <v>132</v>
      </c>
      <c r="M97" s="34" t="s">
        <v>132</v>
      </c>
      <c r="N97" s="30">
        <v>81</v>
      </c>
      <c r="O97" s="31">
        <v>1</v>
      </c>
      <c r="P97" s="31"/>
      <c r="Q97" s="31"/>
      <c r="R97" s="31"/>
    </row>
    <row r="98" spans="1:18" x14ac:dyDescent="0.2">
      <c r="A98" s="32" t="s">
        <v>311</v>
      </c>
      <c r="B98" s="32">
        <v>82</v>
      </c>
      <c r="C98" s="32">
        <v>45</v>
      </c>
      <c r="D98" s="32" t="s">
        <v>135</v>
      </c>
      <c r="E98" s="32" t="s">
        <v>126</v>
      </c>
      <c r="F98" s="32" t="s">
        <v>306</v>
      </c>
      <c r="G98" s="32" t="s">
        <v>128</v>
      </c>
      <c r="H98" s="32" t="s">
        <v>307</v>
      </c>
      <c r="I98" s="32" t="s">
        <v>129</v>
      </c>
      <c r="J98" s="32" t="s">
        <v>130</v>
      </c>
      <c r="K98" s="32" t="s">
        <v>312</v>
      </c>
      <c r="L98" s="33" t="s">
        <v>147</v>
      </c>
      <c r="M98" s="34" t="s">
        <v>132</v>
      </c>
      <c r="N98" s="30">
        <v>82</v>
      </c>
      <c r="O98" s="31"/>
      <c r="P98" s="31"/>
      <c r="Q98" s="31">
        <v>1</v>
      </c>
      <c r="R98" s="31"/>
    </row>
    <row r="99" spans="1:18" x14ac:dyDescent="0.2">
      <c r="A99" s="32" t="s">
        <v>313</v>
      </c>
      <c r="B99" s="32">
        <v>83</v>
      </c>
      <c r="C99" s="32">
        <v>61</v>
      </c>
      <c r="D99" s="32" t="s">
        <v>135</v>
      </c>
      <c r="E99" s="32" t="s">
        <v>126</v>
      </c>
      <c r="F99" s="32" t="s">
        <v>314</v>
      </c>
      <c r="G99" s="32" t="s">
        <v>140</v>
      </c>
      <c r="H99" s="32" t="s">
        <v>307</v>
      </c>
      <c r="I99" s="32" t="s">
        <v>141</v>
      </c>
      <c r="J99" s="32" t="s">
        <v>130</v>
      </c>
      <c r="K99" s="32" t="s">
        <v>315</v>
      </c>
      <c r="L99" s="33" t="s">
        <v>133</v>
      </c>
      <c r="M99" s="34" t="s">
        <v>132</v>
      </c>
      <c r="N99" s="30">
        <v>83</v>
      </c>
      <c r="O99" s="31">
        <v>1</v>
      </c>
      <c r="P99" s="31"/>
      <c r="Q99" s="31"/>
      <c r="R99" s="31"/>
    </row>
    <row r="100" spans="1:18" x14ac:dyDescent="0.2">
      <c r="A100" s="32" t="s">
        <v>316</v>
      </c>
      <c r="B100" s="32">
        <v>84</v>
      </c>
      <c r="C100" s="32">
        <v>71</v>
      </c>
      <c r="D100" s="32" t="s">
        <v>135</v>
      </c>
      <c r="E100" s="32" t="s">
        <v>126</v>
      </c>
      <c r="F100" s="32" t="s">
        <v>314</v>
      </c>
      <c r="G100" s="32" t="s">
        <v>217</v>
      </c>
      <c r="H100" s="32" t="s">
        <v>307</v>
      </c>
      <c r="I100" s="32" t="s">
        <v>218</v>
      </c>
      <c r="J100" s="32" t="s">
        <v>130</v>
      </c>
      <c r="K100" s="32" t="s">
        <v>317</v>
      </c>
      <c r="L100" s="33" t="s">
        <v>175</v>
      </c>
      <c r="M100" s="34" t="s">
        <v>132</v>
      </c>
      <c r="N100" s="30">
        <v>84</v>
      </c>
      <c r="O100" s="31"/>
      <c r="P100" s="31"/>
      <c r="Q100" s="31">
        <v>1</v>
      </c>
      <c r="R100" s="31"/>
    </row>
    <row r="101" spans="1:18" x14ac:dyDescent="0.2">
      <c r="A101" s="32" t="s">
        <v>318</v>
      </c>
      <c r="B101" s="32">
        <v>85</v>
      </c>
      <c r="C101" s="32">
        <v>40</v>
      </c>
      <c r="D101" s="32" t="s">
        <v>135</v>
      </c>
      <c r="E101" s="32" t="s">
        <v>126</v>
      </c>
      <c r="F101" s="32" t="s">
        <v>319</v>
      </c>
      <c r="G101" s="32" t="s">
        <v>140</v>
      </c>
      <c r="H101" s="32" t="s">
        <v>307</v>
      </c>
      <c r="I101" s="32" t="s">
        <v>141</v>
      </c>
      <c r="J101" s="32" t="s">
        <v>130</v>
      </c>
      <c r="K101" s="32" t="s">
        <v>320</v>
      </c>
      <c r="L101" s="33" t="s">
        <v>132</v>
      </c>
      <c r="M101" s="34" t="s">
        <v>132</v>
      </c>
      <c r="N101" s="30">
        <v>85</v>
      </c>
      <c r="O101" s="31">
        <v>1</v>
      </c>
      <c r="P101" s="31"/>
      <c r="Q101" s="31"/>
      <c r="R101" s="31"/>
    </row>
    <row r="102" spans="1:18" x14ac:dyDescent="0.2">
      <c r="A102" s="32" t="s">
        <v>321</v>
      </c>
      <c r="B102" s="32">
        <v>86</v>
      </c>
      <c r="C102" s="32">
        <v>54</v>
      </c>
      <c r="D102" s="32" t="s">
        <v>125</v>
      </c>
      <c r="E102" s="32" t="s">
        <v>126</v>
      </c>
      <c r="F102" s="32" t="s">
        <v>322</v>
      </c>
      <c r="G102" s="32" t="s">
        <v>140</v>
      </c>
      <c r="H102" s="32" t="s">
        <v>307</v>
      </c>
      <c r="I102" s="32" t="s">
        <v>141</v>
      </c>
      <c r="J102" s="32" t="s">
        <v>130</v>
      </c>
      <c r="K102" s="32" t="s">
        <v>323</v>
      </c>
      <c r="L102" s="33" t="s">
        <v>132</v>
      </c>
      <c r="M102" s="34" t="s">
        <v>132</v>
      </c>
      <c r="N102" s="30">
        <v>86</v>
      </c>
      <c r="O102" s="31">
        <v>1</v>
      </c>
      <c r="P102" s="31"/>
      <c r="Q102" s="31"/>
      <c r="R102" s="31"/>
    </row>
    <row r="103" spans="1:18" x14ac:dyDescent="0.2">
      <c r="A103" s="32" t="s">
        <v>324</v>
      </c>
      <c r="B103" s="32">
        <v>87</v>
      </c>
      <c r="C103" s="32">
        <v>49</v>
      </c>
      <c r="D103" s="32" t="s">
        <v>135</v>
      </c>
      <c r="E103" s="32" t="s">
        <v>126</v>
      </c>
      <c r="F103" s="32" t="s">
        <v>325</v>
      </c>
      <c r="G103" s="32" t="s">
        <v>128</v>
      </c>
      <c r="H103" s="32" t="s">
        <v>307</v>
      </c>
      <c r="I103" s="32" t="s">
        <v>129</v>
      </c>
      <c r="J103" s="32" t="s">
        <v>130</v>
      </c>
      <c r="K103" s="32" t="s">
        <v>326</v>
      </c>
      <c r="L103" s="33" t="s">
        <v>132</v>
      </c>
      <c r="M103" s="34" t="s">
        <v>175</v>
      </c>
      <c r="N103" s="30">
        <v>87</v>
      </c>
      <c r="O103" s="31"/>
      <c r="P103" s="31">
        <v>1</v>
      </c>
      <c r="Q103" s="31"/>
      <c r="R103" s="31"/>
    </row>
    <row r="104" spans="1:18" x14ac:dyDescent="0.2">
      <c r="A104" s="32" t="s">
        <v>327</v>
      </c>
      <c r="B104" s="32">
        <v>88</v>
      </c>
      <c r="C104" s="32">
        <v>49</v>
      </c>
      <c r="D104" s="32" t="s">
        <v>135</v>
      </c>
      <c r="E104" s="32" t="s">
        <v>126</v>
      </c>
      <c r="F104" s="32" t="s">
        <v>325</v>
      </c>
      <c r="G104" s="32" t="s">
        <v>140</v>
      </c>
      <c r="H104" s="32" t="s">
        <v>307</v>
      </c>
      <c r="I104" s="32" t="s">
        <v>141</v>
      </c>
      <c r="J104" s="32" t="s">
        <v>130</v>
      </c>
      <c r="K104" s="32" t="s">
        <v>328</v>
      </c>
      <c r="L104" s="33" t="s">
        <v>132</v>
      </c>
      <c r="M104" s="34" t="s">
        <v>147</v>
      </c>
      <c r="N104" s="30">
        <v>88</v>
      </c>
      <c r="O104" s="31"/>
      <c r="P104" s="31">
        <v>1</v>
      </c>
      <c r="Q104" s="31"/>
      <c r="R104" s="31"/>
    </row>
    <row r="105" spans="1:18" x14ac:dyDescent="0.2">
      <c r="A105" s="32" t="s">
        <v>329</v>
      </c>
      <c r="B105" s="32">
        <v>89</v>
      </c>
      <c r="C105" s="32">
        <v>59</v>
      </c>
      <c r="D105" s="32" t="s">
        <v>125</v>
      </c>
      <c r="E105" s="32" t="s">
        <v>126</v>
      </c>
      <c r="F105" s="32" t="s">
        <v>325</v>
      </c>
      <c r="G105" s="32" t="s">
        <v>128</v>
      </c>
      <c r="H105" s="32" t="s">
        <v>307</v>
      </c>
      <c r="I105" s="32" t="s">
        <v>129</v>
      </c>
      <c r="J105" s="32" t="s">
        <v>130</v>
      </c>
      <c r="K105" s="32" t="s">
        <v>330</v>
      </c>
      <c r="L105" s="33" t="s">
        <v>133</v>
      </c>
      <c r="M105" s="34" t="s">
        <v>132</v>
      </c>
      <c r="N105" s="30">
        <v>89</v>
      </c>
      <c r="O105" s="31">
        <v>1</v>
      </c>
      <c r="P105" s="31"/>
      <c r="Q105" s="31"/>
      <c r="R105" s="31"/>
    </row>
    <row r="106" spans="1:18" x14ac:dyDescent="0.2">
      <c r="A106" s="32" t="s">
        <v>331</v>
      </c>
      <c r="B106" s="32">
        <v>90</v>
      </c>
      <c r="C106" s="32">
        <v>71</v>
      </c>
      <c r="D106" s="32" t="s">
        <v>135</v>
      </c>
      <c r="E106" s="32" t="s">
        <v>126</v>
      </c>
      <c r="F106" s="32" t="s">
        <v>325</v>
      </c>
      <c r="G106" s="32" t="s">
        <v>140</v>
      </c>
      <c r="H106" s="32" t="s">
        <v>307</v>
      </c>
      <c r="I106" s="32" t="s">
        <v>141</v>
      </c>
      <c r="J106" s="32" t="s">
        <v>130</v>
      </c>
      <c r="K106" s="32" t="s">
        <v>332</v>
      </c>
      <c r="L106" s="33" t="s">
        <v>147</v>
      </c>
      <c r="M106" s="34" t="s">
        <v>133</v>
      </c>
      <c r="N106" s="30">
        <v>90</v>
      </c>
      <c r="O106" s="31"/>
      <c r="P106" s="31"/>
      <c r="Q106" s="31">
        <v>1</v>
      </c>
      <c r="R106" s="31"/>
    </row>
    <row r="107" spans="1:18" x14ac:dyDescent="0.2">
      <c r="A107" s="32" t="s">
        <v>333</v>
      </c>
      <c r="B107" s="32">
        <v>91</v>
      </c>
      <c r="C107" s="32">
        <v>75</v>
      </c>
      <c r="D107" s="32" t="s">
        <v>135</v>
      </c>
      <c r="E107" s="32" t="s">
        <v>126</v>
      </c>
      <c r="F107" s="32" t="s">
        <v>334</v>
      </c>
      <c r="G107" s="32" t="s">
        <v>140</v>
      </c>
      <c r="H107" s="32" t="s">
        <v>307</v>
      </c>
      <c r="I107" s="32" t="s">
        <v>141</v>
      </c>
      <c r="J107" s="32" t="s">
        <v>130</v>
      </c>
      <c r="K107" s="32" t="s">
        <v>335</v>
      </c>
      <c r="L107" s="33" t="s">
        <v>132</v>
      </c>
      <c r="M107" s="34" t="s">
        <v>132</v>
      </c>
      <c r="N107" s="30">
        <v>91</v>
      </c>
      <c r="O107" s="31">
        <v>1</v>
      </c>
      <c r="P107" s="31"/>
      <c r="Q107" s="31"/>
      <c r="R107" s="31"/>
    </row>
    <row r="108" spans="1:18" x14ac:dyDescent="0.2">
      <c r="A108" s="32" t="s">
        <v>336</v>
      </c>
      <c r="B108" s="32">
        <v>92</v>
      </c>
      <c r="C108" s="32">
        <v>44</v>
      </c>
      <c r="D108" s="32" t="s">
        <v>125</v>
      </c>
      <c r="E108" s="32" t="s">
        <v>126</v>
      </c>
      <c r="F108" s="32" t="s">
        <v>334</v>
      </c>
      <c r="G108" s="32" t="s">
        <v>128</v>
      </c>
      <c r="H108" s="32" t="s">
        <v>307</v>
      </c>
      <c r="I108" s="32" t="s">
        <v>129</v>
      </c>
      <c r="J108" s="32" t="s">
        <v>130</v>
      </c>
      <c r="K108" s="32" t="s">
        <v>337</v>
      </c>
      <c r="L108" s="33" t="s">
        <v>133</v>
      </c>
      <c r="M108" s="34" t="s">
        <v>132</v>
      </c>
      <c r="N108" s="30">
        <v>92</v>
      </c>
      <c r="O108" s="31">
        <v>1</v>
      </c>
      <c r="P108" s="31"/>
      <c r="Q108" s="31"/>
      <c r="R108" s="31"/>
    </row>
    <row r="109" spans="1:18" x14ac:dyDescent="0.2">
      <c r="A109" s="32" t="s">
        <v>338</v>
      </c>
      <c r="B109" s="32">
        <v>93</v>
      </c>
      <c r="C109" s="32">
        <v>71</v>
      </c>
      <c r="D109" s="32" t="s">
        <v>125</v>
      </c>
      <c r="E109" s="32" t="s">
        <v>126</v>
      </c>
      <c r="F109" s="32" t="s">
        <v>334</v>
      </c>
      <c r="G109" s="32" t="s">
        <v>128</v>
      </c>
      <c r="H109" s="32" t="s">
        <v>307</v>
      </c>
      <c r="I109" s="32" t="s">
        <v>129</v>
      </c>
      <c r="J109" s="32" t="s">
        <v>130</v>
      </c>
      <c r="K109" s="32" t="s">
        <v>339</v>
      </c>
      <c r="L109" s="33" t="s">
        <v>133</v>
      </c>
      <c r="M109" s="34" t="s">
        <v>132</v>
      </c>
      <c r="N109" s="30">
        <v>93</v>
      </c>
      <c r="O109" s="31">
        <v>1</v>
      </c>
      <c r="P109" s="31"/>
      <c r="Q109" s="31"/>
      <c r="R109" s="31"/>
    </row>
    <row r="110" spans="1:18" x14ac:dyDescent="0.2">
      <c r="A110" s="32" t="s">
        <v>340</v>
      </c>
      <c r="B110" s="32">
        <v>94</v>
      </c>
      <c r="C110" s="32">
        <v>60</v>
      </c>
      <c r="D110" s="32" t="s">
        <v>125</v>
      </c>
      <c r="E110" s="32" t="s">
        <v>126</v>
      </c>
      <c r="F110" s="32" t="s">
        <v>334</v>
      </c>
      <c r="G110" s="32" t="s">
        <v>128</v>
      </c>
      <c r="H110" s="32" t="s">
        <v>307</v>
      </c>
      <c r="I110" s="32" t="s">
        <v>129</v>
      </c>
      <c r="J110" s="32" t="s">
        <v>130</v>
      </c>
      <c r="K110" s="32" t="s">
        <v>341</v>
      </c>
      <c r="L110" s="33" t="s">
        <v>175</v>
      </c>
      <c r="M110" s="34" t="s">
        <v>132</v>
      </c>
      <c r="N110" s="30">
        <v>94</v>
      </c>
      <c r="O110" s="31"/>
      <c r="P110" s="31"/>
      <c r="Q110" s="31">
        <v>1</v>
      </c>
      <c r="R110" s="31"/>
    </row>
    <row r="111" spans="1:18" x14ac:dyDescent="0.2">
      <c r="A111" s="32" t="s">
        <v>342</v>
      </c>
      <c r="B111" s="32">
        <v>95</v>
      </c>
      <c r="C111" s="32">
        <v>62</v>
      </c>
      <c r="D111" s="32" t="s">
        <v>125</v>
      </c>
      <c r="E111" s="32" t="s">
        <v>126</v>
      </c>
      <c r="F111" s="32" t="s">
        <v>334</v>
      </c>
      <c r="G111" s="32" t="s">
        <v>128</v>
      </c>
      <c r="H111" s="32" t="s">
        <v>307</v>
      </c>
      <c r="I111" s="32" t="s">
        <v>129</v>
      </c>
      <c r="J111" s="32" t="s">
        <v>130</v>
      </c>
      <c r="K111" s="32" t="s">
        <v>343</v>
      </c>
      <c r="L111" s="33" t="s">
        <v>175</v>
      </c>
      <c r="M111" s="34" t="s">
        <v>132</v>
      </c>
      <c r="N111" s="30">
        <v>95</v>
      </c>
      <c r="O111" s="31"/>
      <c r="P111" s="31"/>
      <c r="Q111" s="31">
        <v>1</v>
      </c>
      <c r="R111" s="31"/>
    </row>
    <row r="112" spans="1:18" x14ac:dyDescent="0.2">
      <c r="A112" s="32" t="s">
        <v>344</v>
      </c>
      <c r="B112" s="32">
        <v>96</v>
      </c>
      <c r="C112" s="32">
        <v>56</v>
      </c>
      <c r="D112" s="32" t="s">
        <v>125</v>
      </c>
      <c r="E112" s="32" t="s">
        <v>126</v>
      </c>
      <c r="F112" s="32" t="s">
        <v>334</v>
      </c>
      <c r="G112" s="32" t="s">
        <v>128</v>
      </c>
      <c r="H112" s="32" t="s">
        <v>307</v>
      </c>
      <c r="I112" s="32" t="s">
        <v>129</v>
      </c>
      <c r="J112" s="32" t="s">
        <v>130</v>
      </c>
      <c r="K112" s="32" t="s">
        <v>345</v>
      </c>
      <c r="L112" s="33" t="s">
        <v>133</v>
      </c>
      <c r="M112" s="34" t="s">
        <v>132</v>
      </c>
      <c r="N112" s="30">
        <v>96</v>
      </c>
      <c r="O112" s="31">
        <v>1</v>
      </c>
      <c r="P112" s="31"/>
      <c r="Q112" s="31"/>
      <c r="R112" s="31"/>
    </row>
    <row r="113" spans="1:18" x14ac:dyDescent="0.2">
      <c r="A113" s="32" t="s">
        <v>346</v>
      </c>
      <c r="B113" s="32">
        <v>97</v>
      </c>
      <c r="C113" s="32">
        <v>79</v>
      </c>
      <c r="D113" s="32" t="s">
        <v>135</v>
      </c>
      <c r="E113" s="32" t="s">
        <v>126</v>
      </c>
      <c r="F113" s="32" t="s">
        <v>334</v>
      </c>
      <c r="G113" s="32" t="s">
        <v>217</v>
      </c>
      <c r="H113" s="32" t="s">
        <v>307</v>
      </c>
      <c r="I113" s="32" t="s">
        <v>218</v>
      </c>
      <c r="J113" s="32" t="s">
        <v>130</v>
      </c>
      <c r="K113" s="32" t="s">
        <v>347</v>
      </c>
      <c r="L113" s="33" t="s">
        <v>133</v>
      </c>
      <c r="M113" s="34" t="s">
        <v>133</v>
      </c>
      <c r="N113" s="30">
        <v>97</v>
      </c>
      <c r="O113" s="31">
        <v>1</v>
      </c>
      <c r="P113" s="31"/>
      <c r="Q113" s="31"/>
      <c r="R113" s="31"/>
    </row>
    <row r="114" spans="1:18" x14ac:dyDescent="0.2">
      <c r="A114" s="32" t="s">
        <v>348</v>
      </c>
      <c r="B114" s="32">
        <v>98</v>
      </c>
      <c r="C114" s="32">
        <v>65</v>
      </c>
      <c r="D114" s="32" t="s">
        <v>135</v>
      </c>
      <c r="E114" s="32" t="s">
        <v>126</v>
      </c>
      <c r="F114" s="32" t="s">
        <v>349</v>
      </c>
      <c r="G114" s="32" t="s">
        <v>140</v>
      </c>
      <c r="H114" s="32" t="s">
        <v>307</v>
      </c>
      <c r="I114" s="32" t="s">
        <v>141</v>
      </c>
      <c r="J114" s="32" t="s">
        <v>130</v>
      </c>
      <c r="K114" s="32" t="s">
        <v>350</v>
      </c>
      <c r="L114" s="33" t="s">
        <v>133</v>
      </c>
      <c r="M114" s="34" t="s">
        <v>132</v>
      </c>
      <c r="N114" s="30">
        <v>98</v>
      </c>
      <c r="O114" s="31">
        <v>1</v>
      </c>
      <c r="P114" s="31"/>
      <c r="Q114" s="31"/>
      <c r="R114" s="31"/>
    </row>
    <row r="115" spans="1:18" x14ac:dyDescent="0.2">
      <c r="A115" s="32" t="s">
        <v>351</v>
      </c>
      <c r="B115" s="32">
        <v>99</v>
      </c>
      <c r="C115" s="32">
        <v>74</v>
      </c>
      <c r="D115" s="32" t="s">
        <v>125</v>
      </c>
      <c r="E115" s="32" t="s">
        <v>126</v>
      </c>
      <c r="F115" s="32" t="s">
        <v>334</v>
      </c>
      <c r="G115" s="32" t="s">
        <v>128</v>
      </c>
      <c r="H115" s="32" t="s">
        <v>307</v>
      </c>
      <c r="I115" s="32" t="s">
        <v>129</v>
      </c>
      <c r="J115" s="32" t="s">
        <v>130</v>
      </c>
      <c r="K115" s="32" t="s">
        <v>352</v>
      </c>
      <c r="L115" s="33" t="s">
        <v>133</v>
      </c>
      <c r="M115" s="34" t="s">
        <v>132</v>
      </c>
      <c r="N115" s="30">
        <v>99</v>
      </c>
      <c r="O115" s="31">
        <v>1</v>
      </c>
      <c r="P115" s="31"/>
      <c r="Q115" s="31"/>
      <c r="R115" s="31"/>
    </row>
    <row r="116" spans="1:18" x14ac:dyDescent="0.2">
      <c r="A116" s="32" t="s">
        <v>353</v>
      </c>
      <c r="B116" s="32">
        <v>100</v>
      </c>
      <c r="C116" s="32">
        <v>75</v>
      </c>
      <c r="D116" s="32" t="s">
        <v>125</v>
      </c>
      <c r="E116" s="32" t="s">
        <v>126</v>
      </c>
      <c r="F116" s="32" t="s">
        <v>334</v>
      </c>
      <c r="G116" s="32" t="s">
        <v>128</v>
      </c>
      <c r="H116" s="32" t="s">
        <v>307</v>
      </c>
      <c r="I116" s="32" t="s">
        <v>129</v>
      </c>
      <c r="J116" s="32" t="s">
        <v>130</v>
      </c>
      <c r="K116" s="32" t="s">
        <v>354</v>
      </c>
      <c r="L116" s="33" t="s">
        <v>133</v>
      </c>
      <c r="M116" s="34" t="s">
        <v>133</v>
      </c>
      <c r="N116" s="30">
        <v>100</v>
      </c>
      <c r="O116" s="31">
        <v>1</v>
      </c>
      <c r="P116" s="31"/>
      <c r="Q116" s="31"/>
      <c r="R116" s="31"/>
    </row>
    <row r="117" spans="1:18" x14ac:dyDescent="0.2">
      <c r="A117" s="32" t="s">
        <v>355</v>
      </c>
      <c r="B117" s="32">
        <v>101</v>
      </c>
      <c r="C117" s="32">
        <v>68</v>
      </c>
      <c r="D117" s="32" t="s">
        <v>125</v>
      </c>
      <c r="E117" s="32" t="s">
        <v>126</v>
      </c>
      <c r="F117" s="32" t="s">
        <v>334</v>
      </c>
      <c r="G117" s="32" t="s">
        <v>128</v>
      </c>
      <c r="H117" s="32" t="s">
        <v>307</v>
      </c>
      <c r="I117" s="32" t="s">
        <v>129</v>
      </c>
      <c r="J117" s="32" t="s">
        <v>130</v>
      </c>
      <c r="K117" s="32" t="s">
        <v>356</v>
      </c>
      <c r="L117" s="33" t="s">
        <v>133</v>
      </c>
      <c r="M117" s="34" t="s">
        <v>132</v>
      </c>
      <c r="N117" s="30">
        <v>101</v>
      </c>
      <c r="O117" s="31">
        <v>1</v>
      </c>
      <c r="P117" s="31"/>
      <c r="Q117" s="31"/>
      <c r="R117" s="31"/>
    </row>
    <row r="118" spans="1:18" x14ac:dyDescent="0.2">
      <c r="A118" s="32" t="s">
        <v>357</v>
      </c>
      <c r="B118" s="32">
        <v>102</v>
      </c>
      <c r="C118" s="32">
        <v>51</v>
      </c>
      <c r="D118" s="32" t="s">
        <v>125</v>
      </c>
      <c r="E118" s="32" t="s">
        <v>126</v>
      </c>
      <c r="F118" s="32" t="s">
        <v>334</v>
      </c>
      <c r="G118" s="32" t="s">
        <v>128</v>
      </c>
      <c r="H118" s="32" t="s">
        <v>307</v>
      </c>
      <c r="I118" s="32" t="s">
        <v>129</v>
      </c>
      <c r="J118" s="32" t="s">
        <v>130</v>
      </c>
      <c r="K118" s="32" t="s">
        <v>358</v>
      </c>
      <c r="L118" s="33" t="s">
        <v>133</v>
      </c>
      <c r="M118" s="34" t="s">
        <v>132</v>
      </c>
      <c r="N118" s="30">
        <v>102</v>
      </c>
      <c r="O118" s="31">
        <v>1</v>
      </c>
      <c r="P118" s="31"/>
      <c r="Q118" s="31"/>
      <c r="R118" s="31"/>
    </row>
    <row r="119" spans="1:18" x14ac:dyDescent="0.2">
      <c r="A119" s="32" t="s">
        <v>359</v>
      </c>
      <c r="B119" s="32">
        <v>103</v>
      </c>
      <c r="C119" s="32">
        <v>80</v>
      </c>
      <c r="D119" s="32" t="s">
        <v>125</v>
      </c>
      <c r="E119" s="32" t="s">
        <v>126</v>
      </c>
      <c r="F119" s="32" t="s">
        <v>334</v>
      </c>
      <c r="G119" s="32" t="s">
        <v>128</v>
      </c>
      <c r="H119" s="32" t="s">
        <v>307</v>
      </c>
      <c r="I119" s="32" t="s">
        <v>129</v>
      </c>
      <c r="J119" s="32" t="s">
        <v>130</v>
      </c>
      <c r="K119" s="32" t="s">
        <v>360</v>
      </c>
      <c r="L119" s="33" t="s">
        <v>133</v>
      </c>
      <c r="M119" s="34" t="s">
        <v>133</v>
      </c>
      <c r="N119" s="30">
        <v>103</v>
      </c>
      <c r="O119" s="31">
        <v>1</v>
      </c>
      <c r="P119" s="31"/>
      <c r="Q119" s="31"/>
      <c r="R119" s="31"/>
    </row>
    <row r="120" spans="1:18" x14ac:dyDescent="0.2">
      <c r="A120" s="32" t="s">
        <v>361</v>
      </c>
      <c r="B120" s="32">
        <v>104</v>
      </c>
      <c r="C120" s="32">
        <v>75</v>
      </c>
      <c r="D120" s="32" t="s">
        <v>135</v>
      </c>
      <c r="E120" s="32" t="s">
        <v>126</v>
      </c>
      <c r="F120" s="32" t="s">
        <v>334</v>
      </c>
      <c r="G120" s="32" t="s">
        <v>128</v>
      </c>
      <c r="H120" s="32" t="s">
        <v>307</v>
      </c>
      <c r="I120" s="32" t="s">
        <v>129</v>
      </c>
      <c r="J120" s="32" t="s">
        <v>130</v>
      </c>
      <c r="K120" s="32" t="s">
        <v>362</v>
      </c>
      <c r="L120" s="33" t="s">
        <v>133</v>
      </c>
      <c r="M120" s="34" t="s">
        <v>133</v>
      </c>
      <c r="N120" s="30">
        <v>104</v>
      </c>
      <c r="O120" s="31">
        <v>1</v>
      </c>
      <c r="P120" s="31"/>
      <c r="Q120" s="31"/>
      <c r="R120" s="31"/>
    </row>
    <row r="121" spans="1:18" x14ac:dyDescent="0.2">
      <c r="A121" s="32" t="s">
        <v>363</v>
      </c>
      <c r="B121" s="32">
        <v>105</v>
      </c>
      <c r="C121" s="32">
        <v>80</v>
      </c>
      <c r="D121" s="32" t="s">
        <v>135</v>
      </c>
      <c r="E121" s="32" t="s">
        <v>126</v>
      </c>
      <c r="F121" s="32" t="s">
        <v>334</v>
      </c>
      <c r="G121" s="32" t="s">
        <v>128</v>
      </c>
      <c r="H121" s="32" t="s">
        <v>307</v>
      </c>
      <c r="I121" s="32" t="s">
        <v>129</v>
      </c>
      <c r="J121" s="32" t="s">
        <v>130</v>
      </c>
      <c r="K121" s="32" t="s">
        <v>364</v>
      </c>
      <c r="L121" s="33" t="s">
        <v>147</v>
      </c>
      <c r="M121" s="34" t="s">
        <v>147</v>
      </c>
      <c r="N121" s="30">
        <v>105</v>
      </c>
      <c r="O121" s="31"/>
      <c r="P121" s="31"/>
      <c r="Q121" s="31"/>
      <c r="R121" s="31">
        <v>1</v>
      </c>
    </row>
    <row r="122" spans="1:18" x14ac:dyDescent="0.2">
      <c r="A122" s="32" t="s">
        <v>365</v>
      </c>
      <c r="B122" s="32">
        <v>106</v>
      </c>
      <c r="C122" s="32">
        <v>76</v>
      </c>
      <c r="D122" s="32" t="s">
        <v>125</v>
      </c>
      <c r="E122" s="32" t="s">
        <v>126</v>
      </c>
      <c r="F122" s="32" t="s">
        <v>334</v>
      </c>
      <c r="G122" s="32" t="s">
        <v>128</v>
      </c>
      <c r="H122" s="32" t="s">
        <v>307</v>
      </c>
      <c r="I122" s="32" t="s">
        <v>129</v>
      </c>
      <c r="J122" s="32" t="s">
        <v>130</v>
      </c>
      <c r="K122" s="32" t="s">
        <v>366</v>
      </c>
      <c r="L122" s="33" t="s">
        <v>133</v>
      </c>
      <c r="M122" s="34" t="s">
        <v>133</v>
      </c>
      <c r="N122" s="30">
        <v>106</v>
      </c>
      <c r="O122" s="31">
        <v>1</v>
      </c>
      <c r="P122" s="31"/>
      <c r="Q122" s="31"/>
      <c r="R122" s="31"/>
    </row>
    <row r="123" spans="1:18" x14ac:dyDescent="0.2">
      <c r="A123" s="32" t="s">
        <v>367</v>
      </c>
      <c r="B123" s="32">
        <v>107</v>
      </c>
      <c r="C123" s="32">
        <v>33</v>
      </c>
      <c r="D123" s="32" t="s">
        <v>125</v>
      </c>
      <c r="E123" s="32" t="s">
        <v>126</v>
      </c>
      <c r="F123" s="32" t="s">
        <v>334</v>
      </c>
      <c r="G123" s="32" t="s">
        <v>128</v>
      </c>
      <c r="H123" s="32" t="s">
        <v>307</v>
      </c>
      <c r="I123" s="32" t="s">
        <v>129</v>
      </c>
      <c r="J123" s="32" t="s">
        <v>130</v>
      </c>
      <c r="K123" s="32" t="s">
        <v>368</v>
      </c>
      <c r="L123" s="33" t="s">
        <v>132</v>
      </c>
      <c r="M123" s="34" t="s">
        <v>175</v>
      </c>
      <c r="N123" s="30">
        <v>107</v>
      </c>
      <c r="O123" s="31"/>
      <c r="P123" s="31">
        <v>1</v>
      </c>
      <c r="Q123" s="31"/>
      <c r="R123" s="31"/>
    </row>
    <row r="124" spans="1:18" x14ac:dyDescent="0.2">
      <c r="A124" s="32" t="s">
        <v>369</v>
      </c>
      <c r="B124" s="32">
        <v>108</v>
      </c>
      <c r="C124" s="32">
        <v>61</v>
      </c>
      <c r="D124" s="32" t="s">
        <v>135</v>
      </c>
      <c r="E124" s="32" t="s">
        <v>126</v>
      </c>
      <c r="F124" s="32" t="s">
        <v>334</v>
      </c>
      <c r="G124" s="32" t="s">
        <v>128</v>
      </c>
      <c r="H124" s="32" t="s">
        <v>307</v>
      </c>
      <c r="I124" s="32" t="s">
        <v>129</v>
      </c>
      <c r="J124" s="32" t="s">
        <v>130</v>
      </c>
      <c r="K124" s="32" t="s">
        <v>370</v>
      </c>
      <c r="L124" s="33" t="s">
        <v>175</v>
      </c>
      <c r="M124" s="34" t="s">
        <v>175</v>
      </c>
      <c r="N124" s="30">
        <v>108</v>
      </c>
      <c r="O124" s="31"/>
      <c r="P124" s="31"/>
      <c r="Q124" s="31"/>
      <c r="R124" s="31">
        <v>1</v>
      </c>
    </row>
    <row r="125" spans="1:18" x14ac:dyDescent="0.2">
      <c r="A125" s="32" t="s">
        <v>371</v>
      </c>
      <c r="B125" s="32">
        <v>109</v>
      </c>
      <c r="C125" s="32">
        <v>83</v>
      </c>
      <c r="D125" s="32" t="s">
        <v>135</v>
      </c>
      <c r="E125" s="32" t="s">
        <v>126</v>
      </c>
      <c r="F125" s="32" t="s">
        <v>372</v>
      </c>
      <c r="G125" s="32" t="s">
        <v>217</v>
      </c>
      <c r="H125" s="32" t="s">
        <v>198</v>
      </c>
      <c r="I125" s="32" t="s">
        <v>218</v>
      </c>
      <c r="J125" s="32" t="s">
        <v>130</v>
      </c>
      <c r="K125" s="32" t="s">
        <v>373</v>
      </c>
      <c r="L125" s="33" t="s">
        <v>168</v>
      </c>
      <c r="M125" s="34" t="s">
        <v>168</v>
      </c>
      <c r="N125" s="30">
        <v>109</v>
      </c>
      <c r="O125" s="31"/>
      <c r="P125" s="31"/>
      <c r="Q125" s="31"/>
      <c r="R125" s="31"/>
    </row>
    <row r="126" spans="1:18" x14ac:dyDescent="0.2">
      <c r="A126" s="32" t="s">
        <v>374</v>
      </c>
      <c r="B126" s="32">
        <v>110</v>
      </c>
      <c r="C126" s="32">
        <v>52</v>
      </c>
      <c r="D126" s="32" t="s">
        <v>125</v>
      </c>
      <c r="E126" s="32" t="s">
        <v>126</v>
      </c>
      <c r="F126" s="32" t="s">
        <v>334</v>
      </c>
      <c r="G126" s="32" t="s">
        <v>217</v>
      </c>
      <c r="H126" s="32" t="s">
        <v>307</v>
      </c>
      <c r="I126" s="32" t="s">
        <v>218</v>
      </c>
      <c r="J126" s="32" t="s">
        <v>130</v>
      </c>
      <c r="K126" s="32" t="s">
        <v>375</v>
      </c>
      <c r="L126" s="33" t="s">
        <v>175</v>
      </c>
      <c r="M126" s="34" t="s">
        <v>132</v>
      </c>
      <c r="N126" s="30">
        <v>110</v>
      </c>
      <c r="O126" s="31"/>
      <c r="P126" s="31"/>
      <c r="Q126" s="31">
        <v>1</v>
      </c>
      <c r="R126" s="31"/>
    </row>
    <row r="127" spans="1:18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3"/>
      <c r="M127" s="34"/>
      <c r="N127" s="30"/>
      <c r="O127" s="31"/>
      <c r="P127" s="31"/>
      <c r="Q127" s="31"/>
      <c r="R127" s="31"/>
    </row>
    <row r="128" spans="1:18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3"/>
      <c r="M128" s="34"/>
      <c r="N128" s="30" t="s">
        <v>376</v>
      </c>
      <c r="O128" s="31">
        <f>COUNT(O17:O126)</f>
        <v>57</v>
      </c>
      <c r="P128" s="31">
        <f>COUNT(P17:P126)</f>
        <v>9</v>
      </c>
      <c r="Q128" s="31">
        <f>COUNT(Q17:Q126)</f>
        <v>23</v>
      </c>
      <c r="R128" s="31">
        <f>COUNT(R17:R126)</f>
        <v>18</v>
      </c>
    </row>
    <row r="129" spans="1:18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3"/>
      <c r="M129" s="34"/>
      <c r="N129" s="30"/>
      <c r="O129" s="31"/>
      <c r="P129" s="31"/>
      <c r="Q129" s="31"/>
      <c r="R129" s="31"/>
    </row>
    <row r="130" spans="1:18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3"/>
      <c r="M130" s="34"/>
      <c r="N130" s="30"/>
      <c r="O130" s="31"/>
      <c r="P130" s="31"/>
      <c r="Q130" s="31"/>
      <c r="R130" s="31"/>
    </row>
    <row r="131" spans="1:18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40" t="s">
        <v>377</v>
      </c>
      <c r="M131" s="41" t="s">
        <v>378</v>
      </c>
      <c r="N131" s="30"/>
      <c r="O131" s="31"/>
      <c r="P131" s="31"/>
      <c r="Q131" s="31"/>
      <c r="R131" s="31"/>
    </row>
    <row r="132" spans="1:18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40" t="s">
        <v>379</v>
      </c>
      <c r="M132" s="41" t="s">
        <v>380</v>
      </c>
      <c r="N132" s="30"/>
      <c r="O132" s="31"/>
      <c r="P132" s="31"/>
      <c r="Q132" s="31"/>
      <c r="R132" s="31"/>
    </row>
  </sheetData>
  <mergeCells count="8">
    <mergeCell ref="P3:R3"/>
    <mergeCell ref="S3:U3"/>
    <mergeCell ref="V3:X3"/>
    <mergeCell ref="P2:X2"/>
    <mergeCell ref="B2:J2"/>
    <mergeCell ref="B3:D3"/>
    <mergeCell ref="E3:G3"/>
    <mergeCell ref="H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5"/>
  <sheetViews>
    <sheetView topLeftCell="A31" zoomScale="115" workbookViewId="0">
      <selection activeCell="Q26" sqref="Q26"/>
    </sheetView>
  </sheetViews>
  <sheetFormatPr baseColWidth="10" defaultColWidth="8.83203125" defaultRowHeight="15" x14ac:dyDescent="0.2"/>
  <cols>
    <col min="19" max="19" width="11.83203125" bestFit="1" customWidth="1"/>
  </cols>
  <sheetData>
    <row r="1" spans="1:37" x14ac:dyDescent="0.2">
      <c r="A1" s="3" t="s">
        <v>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37" x14ac:dyDescent="0.2">
      <c r="A2" s="11"/>
      <c r="B2" s="53" t="s">
        <v>25</v>
      </c>
      <c r="C2" s="53"/>
      <c r="D2" s="53"/>
      <c r="E2" s="60" t="s">
        <v>60</v>
      </c>
      <c r="F2" s="60"/>
      <c r="G2" s="60"/>
      <c r="H2" s="4"/>
      <c r="I2" s="4" t="s">
        <v>391</v>
      </c>
      <c r="J2" s="11"/>
      <c r="K2" s="53" t="s">
        <v>25</v>
      </c>
      <c r="L2" s="53"/>
      <c r="M2" s="53"/>
      <c r="N2" s="60" t="s">
        <v>60</v>
      </c>
      <c r="O2" s="60"/>
      <c r="P2" s="60"/>
      <c r="Q2" s="4"/>
      <c r="R2" t="s">
        <v>391</v>
      </c>
    </row>
    <row r="3" spans="1:37" x14ac:dyDescent="0.2">
      <c r="A3" s="8" t="s">
        <v>7</v>
      </c>
      <c r="B3" s="5">
        <v>100.039</v>
      </c>
      <c r="C3" s="5">
        <v>102.86199999999999</v>
      </c>
      <c r="D3" s="5">
        <v>97.098609999999994</v>
      </c>
      <c r="E3" s="5">
        <v>98.504300000000001</v>
      </c>
      <c r="F3" s="5">
        <v>100.4674</v>
      </c>
      <c r="G3" s="5">
        <v>101.02800000000001</v>
      </c>
      <c r="H3" s="13" t="s">
        <v>7</v>
      </c>
      <c r="I3" s="4">
        <v>0.99998799999999999</v>
      </c>
      <c r="J3" s="8" t="s">
        <v>7</v>
      </c>
      <c r="K3" s="5">
        <v>99.617102740000007</v>
      </c>
      <c r="L3" s="5">
        <v>96.936819999999997</v>
      </c>
      <c r="M3" s="5">
        <v>103.4461</v>
      </c>
      <c r="N3" s="5">
        <v>99.428160000000005</v>
      </c>
      <c r="O3" s="5">
        <v>100.7148</v>
      </c>
      <c r="P3" s="5">
        <v>99.857039999999998</v>
      </c>
      <c r="Q3" s="13" t="s">
        <v>7</v>
      </c>
      <c r="R3">
        <v>0.99999700000000002</v>
      </c>
    </row>
    <row r="4" spans="1:37" x14ac:dyDescent="0.2">
      <c r="A4" s="8" t="s">
        <v>35</v>
      </c>
      <c r="B4" s="5">
        <v>36.404600000000002</v>
      </c>
      <c r="C4" s="5">
        <v>39.580500000000001</v>
      </c>
      <c r="D4" s="5">
        <v>39.815719999999999</v>
      </c>
      <c r="E4" s="5">
        <v>3.9962599999999999</v>
      </c>
      <c r="F4" s="5">
        <v>3.8560409999999998</v>
      </c>
      <c r="G4" s="5">
        <v>4.2766999999999999</v>
      </c>
      <c r="H4" s="62" t="s">
        <v>33</v>
      </c>
      <c r="I4" s="4">
        <v>6.0000000000000002E-6</v>
      </c>
      <c r="J4" s="8" t="s">
        <v>35</v>
      </c>
      <c r="K4" s="5">
        <v>41.337760000000003</v>
      </c>
      <c r="L4" s="5">
        <v>42.66722</v>
      </c>
      <c r="M4" s="5">
        <v>44.245950000000001</v>
      </c>
      <c r="N4" s="5">
        <v>2.9306649999999999</v>
      </c>
      <c r="O4" s="5">
        <v>2.5017870000000002</v>
      </c>
      <c r="P4" s="5">
        <v>2.0729090000000001</v>
      </c>
      <c r="Q4" s="62" t="s">
        <v>32</v>
      </c>
      <c r="R4">
        <v>9.9999999999999995E-7</v>
      </c>
    </row>
    <row r="5" spans="1:37" x14ac:dyDescent="0.2">
      <c r="A5" s="8" t="s">
        <v>88</v>
      </c>
      <c r="B5" s="5">
        <v>95.804699999999997</v>
      </c>
      <c r="C5" s="5">
        <v>94.040400000000005</v>
      </c>
      <c r="D5" s="5">
        <v>88.629679999999993</v>
      </c>
      <c r="E5" s="5">
        <v>95.559700000000007</v>
      </c>
      <c r="F5" s="5">
        <v>94.437950000000001</v>
      </c>
      <c r="G5" s="5">
        <v>92.194400000000002</v>
      </c>
      <c r="H5" s="62"/>
      <c r="I5" s="4">
        <v>0.62934699999999999</v>
      </c>
      <c r="J5" s="8" t="s">
        <v>88</v>
      </c>
      <c r="K5" s="5">
        <v>103.31844289999999</v>
      </c>
      <c r="L5" s="5">
        <v>100.38290000000001</v>
      </c>
      <c r="M5" s="5">
        <v>101.0211</v>
      </c>
      <c r="N5" s="5">
        <v>103.0021</v>
      </c>
      <c r="O5" s="5">
        <v>106.86199999999999</v>
      </c>
      <c r="P5" s="5">
        <v>101.00069999999999</v>
      </c>
      <c r="Q5" s="62"/>
      <c r="R5">
        <v>0.35019099999999997</v>
      </c>
    </row>
    <row r="6" spans="1:37" x14ac:dyDescent="0.2">
      <c r="A6" s="8" t="s">
        <v>89</v>
      </c>
      <c r="B6" s="5">
        <v>101.333</v>
      </c>
      <c r="C6" s="5">
        <v>97.098600000000005</v>
      </c>
      <c r="D6" s="5">
        <v>93.569890000000001</v>
      </c>
      <c r="E6" s="5">
        <v>96.260800000000003</v>
      </c>
      <c r="F6" s="5">
        <v>97.242350000000002</v>
      </c>
      <c r="G6" s="5">
        <v>96.821700000000007</v>
      </c>
      <c r="H6" s="62"/>
      <c r="I6" s="4">
        <v>0.81701800000000002</v>
      </c>
      <c r="J6" s="8" t="s">
        <v>89</v>
      </c>
      <c r="K6" s="5">
        <v>113.2737715</v>
      </c>
      <c r="L6" s="5">
        <v>105.36060000000001</v>
      </c>
      <c r="M6" s="5">
        <v>105.8711</v>
      </c>
      <c r="N6" s="5">
        <v>109.5783</v>
      </c>
      <c r="O6" s="5">
        <v>111.2938</v>
      </c>
      <c r="P6" s="5">
        <v>95.711219999999997</v>
      </c>
      <c r="Q6" s="62"/>
      <c r="R6">
        <v>0.65939400000000004</v>
      </c>
    </row>
    <row r="7" spans="1:37" x14ac:dyDescent="0.2">
      <c r="A7" s="2"/>
      <c r="B7" s="1"/>
      <c r="C7" s="1"/>
      <c r="D7" s="1"/>
      <c r="E7" s="1"/>
      <c r="F7" s="1"/>
      <c r="G7" s="1"/>
    </row>
    <row r="8" spans="1:37" x14ac:dyDescent="0.2">
      <c r="A8" s="3" t="s">
        <v>78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t="s">
        <v>404</v>
      </c>
      <c r="R8" t="s">
        <v>405</v>
      </c>
      <c r="T8" s="3" t="s">
        <v>80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t="s">
        <v>404</v>
      </c>
      <c r="AK8" t="s">
        <v>405</v>
      </c>
    </row>
    <row r="9" spans="1:37" x14ac:dyDescent="0.2">
      <c r="A9" s="11"/>
      <c r="B9" s="53" t="s">
        <v>22</v>
      </c>
      <c r="C9" s="53"/>
      <c r="D9" s="53"/>
      <c r="E9" s="53"/>
      <c r="F9" s="53"/>
      <c r="G9" s="53" t="s">
        <v>75</v>
      </c>
      <c r="H9" s="53"/>
      <c r="I9" s="53"/>
      <c r="J9" s="53"/>
      <c r="K9" s="53"/>
      <c r="L9" s="53" t="s">
        <v>76</v>
      </c>
      <c r="M9" s="53"/>
      <c r="N9" s="53"/>
      <c r="O9" s="53"/>
      <c r="P9" s="53"/>
      <c r="Q9" t="s">
        <v>391</v>
      </c>
      <c r="R9" t="s">
        <v>391</v>
      </c>
      <c r="T9" s="11"/>
      <c r="U9" s="53" t="s">
        <v>22</v>
      </c>
      <c r="V9" s="53"/>
      <c r="W9" s="53"/>
      <c r="X9" s="53"/>
      <c r="Y9" s="53"/>
      <c r="Z9" s="53" t="s">
        <v>75</v>
      </c>
      <c r="AA9" s="53"/>
      <c r="AB9" s="53"/>
      <c r="AC9" s="53"/>
      <c r="AD9" s="53"/>
      <c r="AE9" s="53" t="s">
        <v>76</v>
      </c>
      <c r="AF9" s="53"/>
      <c r="AG9" s="53"/>
      <c r="AH9" s="53"/>
      <c r="AI9" s="53"/>
      <c r="AJ9" t="s">
        <v>391</v>
      </c>
      <c r="AK9" t="s">
        <v>391</v>
      </c>
    </row>
    <row r="10" spans="1:37" x14ac:dyDescent="0.2">
      <c r="A10" s="8" t="s">
        <v>7</v>
      </c>
      <c r="B10" s="5">
        <v>102.72199999999999</v>
      </c>
      <c r="C10" s="5">
        <v>103.276</v>
      </c>
      <c r="D10" s="5">
        <v>98.962720000000004</v>
      </c>
      <c r="E10" s="5">
        <v>96.867599999999996</v>
      </c>
      <c r="F10" s="5">
        <v>98.531379999999999</v>
      </c>
      <c r="G10" s="5">
        <v>115.506</v>
      </c>
      <c r="H10" s="5">
        <v>94.211200000000005</v>
      </c>
      <c r="I10" s="5">
        <v>102.509</v>
      </c>
      <c r="J10" s="5">
        <v>103.39</v>
      </c>
      <c r="K10" s="5">
        <v>105.8867</v>
      </c>
      <c r="L10" s="5">
        <v>113.271</v>
      </c>
      <c r="M10" s="5">
        <v>102.923</v>
      </c>
      <c r="N10" s="5">
        <v>99.142830000000004</v>
      </c>
      <c r="O10" s="5">
        <v>93.070300000000003</v>
      </c>
      <c r="P10" s="5">
        <v>93.751940000000005</v>
      </c>
      <c r="Q10">
        <v>0.27890399999999999</v>
      </c>
      <c r="R10">
        <v>0.92857100000000004</v>
      </c>
      <c r="T10" s="8" t="s">
        <v>7</v>
      </c>
      <c r="U10" s="5">
        <v>102.72199999999999</v>
      </c>
      <c r="V10" s="5">
        <v>103.276</v>
      </c>
      <c r="W10" s="5">
        <v>98.962720000000004</v>
      </c>
      <c r="X10" s="5">
        <v>96.867599999999996</v>
      </c>
      <c r="Y10" s="5">
        <v>98.531379999999999</v>
      </c>
      <c r="Z10" s="5">
        <v>115.506</v>
      </c>
      <c r="AA10" s="5">
        <v>94.211200000000005</v>
      </c>
      <c r="AB10" s="5">
        <v>102.509</v>
      </c>
      <c r="AC10" s="5">
        <v>103.39</v>
      </c>
      <c r="AD10" s="5">
        <v>105.8867</v>
      </c>
      <c r="AE10" s="5">
        <v>113.271</v>
      </c>
      <c r="AF10" s="5">
        <v>102.923</v>
      </c>
      <c r="AG10" s="5">
        <v>99.142830000000004</v>
      </c>
      <c r="AH10" s="5">
        <v>93.070300000000003</v>
      </c>
      <c r="AI10" s="5">
        <v>93.751940000000005</v>
      </c>
      <c r="AJ10">
        <v>0.27890399999999999</v>
      </c>
      <c r="AK10">
        <v>0.92857100000000004</v>
      </c>
    </row>
    <row r="11" spans="1:37" x14ac:dyDescent="0.2">
      <c r="A11" s="8" t="s">
        <v>60</v>
      </c>
      <c r="B11" s="5">
        <v>103.0485</v>
      </c>
      <c r="C11" s="5">
        <v>97.380899999999997</v>
      </c>
      <c r="D11" s="5">
        <v>101.5887</v>
      </c>
      <c r="E11" s="5">
        <v>102.36199999999999</v>
      </c>
      <c r="F11" s="5">
        <v>100.988</v>
      </c>
      <c r="G11" s="5">
        <v>102.3729</v>
      </c>
      <c r="H11" s="5">
        <v>97.881399999999999</v>
      </c>
      <c r="I11" s="5">
        <v>102.2881</v>
      </c>
      <c r="J11" s="5">
        <v>99.830500000000001</v>
      </c>
      <c r="K11" s="5">
        <v>101.017</v>
      </c>
      <c r="L11" s="5">
        <v>96.55001</v>
      </c>
      <c r="M11" s="5">
        <v>97.745699999999999</v>
      </c>
      <c r="N11" s="5">
        <v>98.642420000000001</v>
      </c>
      <c r="O11" s="5">
        <v>101.78100000000001</v>
      </c>
      <c r="P11" s="5">
        <v>106.937</v>
      </c>
      <c r="Q11">
        <v>0.76793299999999998</v>
      </c>
      <c r="R11">
        <v>0.73404199999999997</v>
      </c>
      <c r="T11" s="8" t="s">
        <v>60</v>
      </c>
      <c r="U11" s="5">
        <v>103.0485</v>
      </c>
      <c r="V11" s="5">
        <v>97.380899999999997</v>
      </c>
      <c r="W11" s="5">
        <v>101.5887</v>
      </c>
      <c r="X11" s="5">
        <v>102.36199999999999</v>
      </c>
      <c r="Y11" s="5">
        <v>100.988</v>
      </c>
      <c r="Z11" s="5">
        <v>102.3729</v>
      </c>
      <c r="AA11" s="5">
        <v>97.881399999999999</v>
      </c>
      <c r="AB11" s="5">
        <v>102.2881</v>
      </c>
      <c r="AC11" s="5">
        <v>99.830500000000001</v>
      </c>
      <c r="AD11" s="5">
        <v>101.017</v>
      </c>
      <c r="AE11" s="5">
        <v>96.55001</v>
      </c>
      <c r="AF11" s="5">
        <v>97.745699999999999</v>
      </c>
      <c r="AG11" s="5">
        <v>98.642420000000001</v>
      </c>
      <c r="AH11" s="5">
        <v>101.78100000000001</v>
      </c>
      <c r="AI11" s="5">
        <v>106.937</v>
      </c>
      <c r="AJ11">
        <v>0.76793299999999998</v>
      </c>
      <c r="AK11">
        <v>0.73404199999999997</v>
      </c>
    </row>
    <row r="12" spans="1:37" x14ac:dyDescent="0.2">
      <c r="A12" s="8" t="s">
        <v>33</v>
      </c>
      <c r="B12" s="5">
        <v>98.469800000000006</v>
      </c>
      <c r="C12" s="5">
        <v>97.853499999999997</v>
      </c>
      <c r="D12" s="5">
        <v>96.374650000000003</v>
      </c>
      <c r="E12" s="5">
        <v>93.478499999999997</v>
      </c>
      <c r="F12" s="5">
        <v>93.355239999999995</v>
      </c>
      <c r="G12" s="5">
        <v>110.072</v>
      </c>
      <c r="H12" s="5">
        <v>103.684</v>
      </c>
      <c r="I12" s="5">
        <v>102.2152</v>
      </c>
      <c r="J12" s="5">
        <v>95.973600000000005</v>
      </c>
      <c r="K12" s="5">
        <v>94.578389999999999</v>
      </c>
      <c r="L12" s="5">
        <v>104.1</v>
      </c>
      <c r="M12" s="5">
        <v>95.858699999999999</v>
      </c>
      <c r="N12" s="5">
        <v>90.653720000000007</v>
      </c>
      <c r="O12" s="5">
        <v>87.183700000000002</v>
      </c>
      <c r="P12" s="5">
        <v>87.307649999999995</v>
      </c>
      <c r="Q12">
        <v>0.109651</v>
      </c>
      <c r="R12">
        <v>0.415744</v>
      </c>
      <c r="T12" s="8" t="s">
        <v>32</v>
      </c>
      <c r="U12" s="5">
        <v>101.551</v>
      </c>
      <c r="V12" s="5">
        <v>98.1</v>
      </c>
      <c r="W12" s="5">
        <v>95.388720000000006</v>
      </c>
      <c r="X12" s="5">
        <v>96.5595</v>
      </c>
      <c r="Y12" s="5">
        <v>93.601730000000003</v>
      </c>
      <c r="Z12" s="5">
        <v>109.77800000000001</v>
      </c>
      <c r="AA12" s="5">
        <v>104.124</v>
      </c>
      <c r="AB12" s="5">
        <v>98.323340000000002</v>
      </c>
      <c r="AC12" s="5">
        <v>95.092399999999998</v>
      </c>
      <c r="AD12" s="5">
        <v>94.651820000000001</v>
      </c>
      <c r="AE12" s="5">
        <v>109.24299999999999</v>
      </c>
      <c r="AF12" s="5">
        <v>100.258</v>
      </c>
      <c r="AG12" s="5">
        <v>93.504080000000002</v>
      </c>
      <c r="AH12" s="5">
        <v>89.538399999999996</v>
      </c>
      <c r="AI12" s="5">
        <v>90.839619999999996</v>
      </c>
      <c r="AJ12">
        <v>0.323905</v>
      </c>
      <c r="AK12">
        <v>0.92776800000000004</v>
      </c>
    </row>
    <row r="13" spans="1:37" x14ac:dyDescent="0.2">
      <c r="A13" s="8" t="s">
        <v>77</v>
      </c>
      <c r="B13" s="5">
        <v>69.557749999999999</v>
      </c>
      <c r="C13" s="5">
        <v>75.826499999999996</v>
      </c>
      <c r="D13" s="5">
        <v>71.361099999999993</v>
      </c>
      <c r="E13" s="5">
        <v>72.992699999999999</v>
      </c>
      <c r="F13" s="5">
        <v>62.0867</v>
      </c>
      <c r="G13" s="5">
        <v>93.813559999999995</v>
      </c>
      <c r="H13" s="5">
        <v>96.610200000000006</v>
      </c>
      <c r="I13" s="5">
        <v>95.932199999999995</v>
      </c>
      <c r="J13" s="5">
        <v>99.152500000000003</v>
      </c>
      <c r="K13" s="5">
        <v>86.610200000000006</v>
      </c>
      <c r="L13" s="5">
        <v>94.233400000000003</v>
      </c>
      <c r="M13" s="5">
        <v>95.354299999999995</v>
      </c>
      <c r="N13" s="5">
        <v>92.888279999999995</v>
      </c>
      <c r="O13" s="5">
        <v>97.372</v>
      </c>
      <c r="P13" s="5">
        <v>96.400499999999994</v>
      </c>
      <c r="Q13">
        <v>6.0000000000000002E-5</v>
      </c>
      <c r="R13">
        <v>6.9999999999999999E-6</v>
      </c>
      <c r="T13" s="8" t="s">
        <v>79</v>
      </c>
      <c r="U13" s="5">
        <v>83.726920000000007</v>
      </c>
      <c r="V13" s="5">
        <v>80.893100000000004</v>
      </c>
      <c r="W13" s="5">
        <v>78.402749999999997</v>
      </c>
      <c r="X13" s="5">
        <v>78.145099999999999</v>
      </c>
      <c r="Y13" s="5">
        <v>71.618700000000004</v>
      </c>
      <c r="Z13" s="5">
        <v>92.711860000000001</v>
      </c>
      <c r="AA13" s="5">
        <v>97.033900000000003</v>
      </c>
      <c r="AB13" s="5">
        <v>99.576269999999994</v>
      </c>
      <c r="AC13" s="5">
        <v>98.813599999999994</v>
      </c>
      <c r="AD13" s="5">
        <v>96.864400000000003</v>
      </c>
      <c r="AE13" s="5">
        <v>94.083950000000002</v>
      </c>
      <c r="AF13" s="5">
        <v>95.727999999999994</v>
      </c>
      <c r="AG13" s="5">
        <v>95.354339999999993</v>
      </c>
      <c r="AH13" s="5">
        <v>99.240300000000005</v>
      </c>
      <c r="AI13" s="5">
        <v>103.79900000000001</v>
      </c>
      <c r="AJ13">
        <v>4.8000000000000001E-5</v>
      </c>
      <c r="AK13">
        <v>9.7E-5</v>
      </c>
    </row>
    <row r="15" spans="1:37" x14ac:dyDescent="0.2">
      <c r="A15" s="3" t="s">
        <v>82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t="s">
        <v>404</v>
      </c>
      <c r="O15" t="s">
        <v>405</v>
      </c>
    </row>
    <row r="16" spans="1:37" x14ac:dyDescent="0.2">
      <c r="A16" s="11"/>
      <c r="B16" s="53" t="s">
        <v>22</v>
      </c>
      <c r="C16" s="53"/>
      <c r="D16" s="53"/>
      <c r="E16" s="53"/>
      <c r="F16" s="53" t="s">
        <v>75</v>
      </c>
      <c r="G16" s="53"/>
      <c r="H16" s="53"/>
      <c r="I16" s="53"/>
      <c r="J16" s="53" t="s">
        <v>76</v>
      </c>
      <c r="K16" s="53"/>
      <c r="L16" s="53"/>
      <c r="M16" s="53"/>
      <c r="N16" t="s">
        <v>391</v>
      </c>
      <c r="O16" t="s">
        <v>391</v>
      </c>
    </row>
    <row r="17" spans="1:21" x14ac:dyDescent="0.2">
      <c r="A17" s="8">
        <v>200</v>
      </c>
      <c r="B17" s="5">
        <v>103.47410000000001</v>
      </c>
      <c r="C17" s="5">
        <v>101.3496</v>
      </c>
      <c r="D17" s="5">
        <v>98.215059999999994</v>
      </c>
      <c r="E17" s="5">
        <v>96.961250000000007</v>
      </c>
      <c r="F17" s="5">
        <v>100.3916</v>
      </c>
      <c r="G17" s="5">
        <v>100.428</v>
      </c>
      <c r="H17" s="5">
        <v>99.772329999999997</v>
      </c>
      <c r="I17" s="5">
        <v>99.408069999999995</v>
      </c>
      <c r="J17" s="5">
        <v>98.718069999999997</v>
      </c>
      <c r="K17" s="5">
        <v>99.861660000000001</v>
      </c>
      <c r="L17" s="5">
        <v>99.750990000000002</v>
      </c>
      <c r="M17" s="5">
        <v>101.66930000000001</v>
      </c>
      <c r="N17">
        <v>0.99999899999999997</v>
      </c>
      <c r="O17">
        <v>0.99999899999999997</v>
      </c>
    </row>
    <row r="18" spans="1:21" x14ac:dyDescent="0.2">
      <c r="A18" s="8">
        <v>5</v>
      </c>
      <c r="B18" s="5">
        <v>81.184150000000002</v>
      </c>
      <c r="C18" s="5">
        <v>87.070089999999993</v>
      </c>
      <c r="D18" s="5">
        <v>83.308660000000003</v>
      </c>
      <c r="E18" s="5">
        <v>81.671750000000003</v>
      </c>
      <c r="F18" s="5">
        <v>88.334400000000002</v>
      </c>
      <c r="G18" s="5">
        <v>86.330939999999998</v>
      </c>
      <c r="H18" s="5">
        <v>86.549490000000006</v>
      </c>
      <c r="I18" s="5">
        <v>86.840909999999994</v>
      </c>
      <c r="J18" s="5">
        <v>89.75376</v>
      </c>
      <c r="K18" s="5">
        <v>89.864429999999999</v>
      </c>
      <c r="L18" s="5">
        <v>89.421750000000003</v>
      </c>
      <c r="M18" s="5">
        <v>84.58914</v>
      </c>
      <c r="N18">
        <v>3.8998999999999999E-2</v>
      </c>
      <c r="O18">
        <v>3.2757000000000001E-2</v>
      </c>
    </row>
    <row r="19" spans="1:21" x14ac:dyDescent="0.2">
      <c r="A19" s="8">
        <v>1</v>
      </c>
      <c r="B19" s="5">
        <v>54.714849999999998</v>
      </c>
      <c r="C19" s="5">
        <v>64.083590000000001</v>
      </c>
      <c r="D19" s="5">
        <v>54.784500000000001</v>
      </c>
      <c r="E19" s="5">
        <v>59.834569999999999</v>
      </c>
      <c r="F19" s="5">
        <v>74.4923</v>
      </c>
      <c r="G19" s="5">
        <v>73.909480000000002</v>
      </c>
      <c r="H19" s="5">
        <v>68.518349999999998</v>
      </c>
      <c r="I19" s="5">
        <v>74.455879999999993</v>
      </c>
      <c r="J19" s="5">
        <v>77.39555</v>
      </c>
      <c r="K19" s="5">
        <v>72.821169999999995</v>
      </c>
      <c r="L19" s="5">
        <v>74.11233</v>
      </c>
      <c r="M19" s="5">
        <v>60.942540000000001</v>
      </c>
      <c r="N19">
        <v>1.653E-3</v>
      </c>
      <c r="O19">
        <v>2.2284000000000002E-2</v>
      </c>
    </row>
    <row r="20" spans="1:21" x14ac:dyDescent="0.2">
      <c r="A20" s="8">
        <v>0</v>
      </c>
      <c r="B20" s="5">
        <v>32.076619999999998</v>
      </c>
      <c r="C20" s="5">
        <v>47.122329999999998</v>
      </c>
      <c r="D20" s="5">
        <v>39.59948</v>
      </c>
      <c r="E20" s="5">
        <v>41.166739999999997</v>
      </c>
      <c r="F20" s="5">
        <v>61.706580000000002</v>
      </c>
      <c r="G20" s="5">
        <v>63.090789999999998</v>
      </c>
      <c r="H20" s="5">
        <v>68.700479999999999</v>
      </c>
      <c r="I20" s="5">
        <v>67.789820000000006</v>
      </c>
      <c r="J20" s="5">
        <v>62.528820000000003</v>
      </c>
      <c r="K20" s="5">
        <v>69.169049999999999</v>
      </c>
      <c r="L20" s="5">
        <v>61.495899999999999</v>
      </c>
      <c r="M20" s="5">
        <v>60.3523</v>
      </c>
      <c r="N20">
        <v>3.77E-4</v>
      </c>
      <c r="O20">
        <v>7.0399999999999998E-4</v>
      </c>
    </row>
    <row r="21" spans="1:21" x14ac:dyDescent="0.2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21" x14ac:dyDescent="0.2">
      <c r="A22" s="3" t="s">
        <v>81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21" x14ac:dyDescent="0.2">
      <c r="A23" s="11" t="s">
        <v>27</v>
      </c>
      <c r="B23" s="53" t="s">
        <v>22</v>
      </c>
      <c r="C23" s="53"/>
      <c r="D23" s="53"/>
      <c r="E23" s="53"/>
      <c r="F23" s="53" t="s">
        <v>75</v>
      </c>
      <c r="G23" s="53"/>
      <c r="H23" s="53"/>
      <c r="I23" s="53"/>
      <c r="J23" s="53" t="s">
        <v>76</v>
      </c>
      <c r="K23" s="53"/>
      <c r="L23" s="53"/>
      <c r="M23" s="53"/>
    </row>
    <row r="24" spans="1:21" x14ac:dyDescent="0.2">
      <c r="A24" s="5">
        <v>0.1</v>
      </c>
      <c r="B24" s="5">
        <v>105.16200000000001</v>
      </c>
      <c r="C24" s="5">
        <v>97.688800000000001</v>
      </c>
      <c r="D24" s="5">
        <v>97.380589999999998</v>
      </c>
      <c r="E24" s="5">
        <v>99.768900000000002</v>
      </c>
      <c r="F24" s="5">
        <v>100.3417</v>
      </c>
      <c r="G24" s="5">
        <v>100.985</v>
      </c>
      <c r="H24" s="5">
        <v>101.54770000000001</v>
      </c>
      <c r="I24" s="5">
        <v>97.125600000000006</v>
      </c>
      <c r="J24" s="5">
        <v>98.191820000000007</v>
      </c>
      <c r="K24" s="5">
        <v>99.056600000000003</v>
      </c>
      <c r="L24" s="5">
        <v>98.977999999999994</v>
      </c>
      <c r="M24" s="5">
        <v>103.7736</v>
      </c>
    </row>
    <row r="25" spans="1:21" x14ac:dyDescent="0.2">
      <c r="A25" s="5">
        <v>1</v>
      </c>
      <c r="B25" s="5">
        <v>102.773</v>
      </c>
      <c r="C25" s="5">
        <v>91.679500000000004</v>
      </c>
      <c r="D25" s="5">
        <v>92.449920000000006</v>
      </c>
      <c r="E25" s="5">
        <v>91.294300000000007</v>
      </c>
      <c r="F25" s="5">
        <v>97.608040000000003</v>
      </c>
      <c r="G25" s="5">
        <v>93.668300000000002</v>
      </c>
      <c r="H25" s="5">
        <v>94.231160000000003</v>
      </c>
      <c r="I25" s="5">
        <v>97.608000000000004</v>
      </c>
      <c r="J25" s="5">
        <v>92.924530000000004</v>
      </c>
      <c r="K25" s="5">
        <v>97.326999999999998</v>
      </c>
      <c r="L25" s="5">
        <v>98.034599999999998</v>
      </c>
      <c r="M25" s="5">
        <v>103.69499999999999</v>
      </c>
    </row>
    <row r="26" spans="1:21" x14ac:dyDescent="0.2">
      <c r="A26" s="5">
        <v>5</v>
      </c>
      <c r="B26" s="5">
        <v>86.594800000000006</v>
      </c>
      <c r="C26" s="5">
        <v>81.124799999999993</v>
      </c>
      <c r="D26" s="5">
        <v>78.120180000000005</v>
      </c>
      <c r="E26" s="5">
        <v>80.1233</v>
      </c>
      <c r="F26" s="5">
        <v>86.432159999999996</v>
      </c>
      <c r="G26" s="5">
        <v>85.145700000000005</v>
      </c>
      <c r="H26" s="5">
        <v>88.52261</v>
      </c>
      <c r="I26" s="5">
        <v>89.326599999999999</v>
      </c>
      <c r="J26" s="5">
        <v>86.477990000000005</v>
      </c>
      <c r="K26" s="5">
        <v>90.015699999999995</v>
      </c>
      <c r="L26" s="5">
        <v>95.283000000000001</v>
      </c>
      <c r="M26" s="5">
        <v>94.496859999999998</v>
      </c>
    </row>
    <row r="27" spans="1:21" x14ac:dyDescent="0.2">
      <c r="A27" s="5">
        <v>10</v>
      </c>
      <c r="B27" s="5">
        <v>64.869</v>
      </c>
      <c r="C27" s="5">
        <v>60.400599999999997</v>
      </c>
      <c r="D27" s="5">
        <v>63.020029999999998</v>
      </c>
      <c r="E27" s="5">
        <v>73.651799999999994</v>
      </c>
      <c r="F27" s="5">
        <v>82.733670000000004</v>
      </c>
      <c r="G27" s="5">
        <v>82.251300000000001</v>
      </c>
      <c r="H27" s="5">
        <v>85.226129999999998</v>
      </c>
      <c r="I27" s="5">
        <v>83.055300000000003</v>
      </c>
      <c r="J27" s="5">
        <v>88.128929999999997</v>
      </c>
      <c r="K27" s="5">
        <v>88.679199999999994</v>
      </c>
      <c r="L27" s="5">
        <v>88.364800000000002</v>
      </c>
      <c r="M27" s="5">
        <v>93.081760000000003</v>
      </c>
    </row>
    <row r="28" spans="1:21" x14ac:dyDescent="0.2">
      <c r="A28" s="5">
        <v>20</v>
      </c>
      <c r="B28" s="5">
        <v>14.946099999999999</v>
      </c>
      <c r="C28" s="5">
        <v>16.255800000000001</v>
      </c>
      <c r="D28" s="5">
        <v>26.502310000000001</v>
      </c>
      <c r="E28" s="5">
        <v>27.195699999999999</v>
      </c>
      <c r="F28" s="5">
        <v>66.733670000000004</v>
      </c>
      <c r="G28" s="5">
        <v>64.160799999999995</v>
      </c>
      <c r="H28" s="5">
        <v>72.603020000000001</v>
      </c>
      <c r="I28" s="5">
        <v>67.698499999999996</v>
      </c>
      <c r="J28" s="5">
        <v>70.597480000000004</v>
      </c>
      <c r="K28" s="5">
        <v>78.066000000000003</v>
      </c>
      <c r="L28" s="5">
        <v>74.685500000000005</v>
      </c>
      <c r="M28" s="5">
        <v>69.654089999999997</v>
      </c>
    </row>
    <row r="32" spans="1:21" x14ac:dyDescent="0.2">
      <c r="A32" s="3" t="s">
        <v>74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">
      <c r="A33" s="4"/>
      <c r="B33" s="53" t="s">
        <v>25</v>
      </c>
      <c r="C33" s="53"/>
      <c r="D33" s="53"/>
      <c r="E33" s="53"/>
      <c r="F33" s="53"/>
      <c r="G33" s="53" t="s">
        <v>66</v>
      </c>
      <c r="H33" s="53"/>
      <c r="I33" s="53"/>
      <c r="J33" s="53"/>
      <c r="K33" s="53"/>
      <c r="L33" s="53" t="s">
        <v>72</v>
      </c>
      <c r="M33" s="53"/>
      <c r="N33" s="53"/>
      <c r="O33" s="53"/>
      <c r="P33" s="53"/>
      <c r="Q33" s="53" t="s">
        <v>73</v>
      </c>
      <c r="R33" s="53"/>
      <c r="S33" s="53"/>
      <c r="T33" s="53"/>
      <c r="U33" s="53"/>
    </row>
    <row r="34" spans="1:21" x14ac:dyDescent="0.2">
      <c r="A34" s="8">
        <v>42</v>
      </c>
      <c r="B34" s="5">
        <v>93.45</v>
      </c>
      <c r="C34" s="5">
        <v>361.7</v>
      </c>
      <c r="D34" s="5">
        <v>556.9</v>
      </c>
      <c r="E34" s="5">
        <v>432.2</v>
      </c>
      <c r="F34" s="5">
        <v>374.4</v>
      </c>
      <c r="G34" s="5">
        <v>160.4</v>
      </c>
      <c r="H34" s="5">
        <v>205.8</v>
      </c>
      <c r="I34" s="5">
        <v>641.5</v>
      </c>
      <c r="J34" s="5">
        <v>264.39999999999998</v>
      </c>
      <c r="K34" s="5">
        <v>124.7</v>
      </c>
      <c r="L34" s="5">
        <v>557</v>
      </c>
      <c r="M34" s="5">
        <v>77.55</v>
      </c>
      <c r="N34" s="5">
        <v>248</v>
      </c>
      <c r="O34" s="5">
        <v>167.2</v>
      </c>
      <c r="P34" s="5">
        <v>398.7</v>
      </c>
      <c r="Q34" s="5">
        <v>199.8</v>
      </c>
      <c r="R34" s="5">
        <v>215.1</v>
      </c>
      <c r="S34" s="5">
        <v>303.39999999999998</v>
      </c>
      <c r="T34" s="5">
        <v>314.2</v>
      </c>
      <c r="U34" s="5">
        <v>245.5</v>
      </c>
    </row>
    <row r="35" spans="1:21" x14ac:dyDescent="0.2">
      <c r="A35" s="8">
        <v>45</v>
      </c>
      <c r="B35" s="5">
        <v>406.27199999999999</v>
      </c>
      <c r="C35" s="5">
        <v>154.87100000000001</v>
      </c>
      <c r="D35" s="5">
        <v>874.8</v>
      </c>
      <c r="E35" s="5">
        <v>422.33100000000002</v>
      </c>
      <c r="F35" s="5">
        <v>459.596</v>
      </c>
      <c r="G35" s="5">
        <v>182.25299999999999</v>
      </c>
      <c r="H35" s="5">
        <v>297.464</v>
      </c>
      <c r="I35" s="5">
        <v>692.22400000000005</v>
      </c>
      <c r="J35" s="5">
        <v>263.84100000000001</v>
      </c>
      <c r="K35" s="5">
        <v>585.84400000000005</v>
      </c>
      <c r="L35" s="5">
        <v>126.711</v>
      </c>
      <c r="M35" s="5">
        <v>255.792</v>
      </c>
      <c r="N35" s="5">
        <v>427.649</v>
      </c>
      <c r="O35" s="5">
        <v>647.76400000000001</v>
      </c>
      <c r="P35" s="5">
        <v>486</v>
      </c>
      <c r="Q35" s="5">
        <v>213.86</v>
      </c>
      <c r="R35" s="5">
        <v>218.489</v>
      </c>
      <c r="S35" s="5">
        <v>282.40800000000002</v>
      </c>
      <c r="T35" s="5">
        <v>312.666</v>
      </c>
      <c r="U35" s="5">
        <v>255.52799999999999</v>
      </c>
    </row>
    <row r="36" spans="1:21" x14ac:dyDescent="0.2">
      <c r="A36" s="8">
        <v>48</v>
      </c>
      <c r="B36" s="5">
        <v>725.85900000000004</v>
      </c>
      <c r="C36" s="5">
        <v>612.54399999999998</v>
      </c>
      <c r="D36" s="5">
        <v>1059.03</v>
      </c>
      <c r="E36" s="5">
        <v>730.68200000000002</v>
      </c>
      <c r="F36" s="5">
        <v>321.048</v>
      </c>
      <c r="G36" s="5">
        <v>509.012</v>
      </c>
      <c r="H36" s="5">
        <v>740.60199999999998</v>
      </c>
      <c r="I36" s="5">
        <v>321.726</v>
      </c>
      <c r="J36" s="5">
        <v>879.46299999999997</v>
      </c>
      <c r="K36" s="5">
        <v>323.78300000000002</v>
      </c>
      <c r="L36" s="5">
        <v>387.09899999999999</v>
      </c>
      <c r="M36" s="5">
        <v>974.68</v>
      </c>
      <c r="N36" s="5">
        <v>299.56799999999998</v>
      </c>
      <c r="O36" s="5">
        <v>780.45</v>
      </c>
      <c r="P36" s="5">
        <v>705.67200000000003</v>
      </c>
      <c r="Q36" s="5">
        <v>176.41800000000001</v>
      </c>
      <c r="R36" s="5">
        <v>228.15199999999999</v>
      </c>
      <c r="S36" s="5">
        <v>182.27199999999999</v>
      </c>
      <c r="T36" s="5">
        <v>324.57600000000002</v>
      </c>
      <c r="U36" s="5">
        <v>415.85300000000001</v>
      </c>
    </row>
    <row r="37" spans="1:21" x14ac:dyDescent="0.2">
      <c r="A37" s="8">
        <v>50</v>
      </c>
      <c r="B37" s="5">
        <v>861.18399999999997</v>
      </c>
      <c r="C37" s="5">
        <v>547.428</v>
      </c>
      <c r="D37" s="5">
        <v>986.4</v>
      </c>
      <c r="E37" s="5">
        <v>1114.06</v>
      </c>
      <c r="F37" s="5">
        <v>226.202</v>
      </c>
      <c r="G37" s="5">
        <v>509.65199999999999</v>
      </c>
      <c r="H37" s="5">
        <v>882.94100000000003</v>
      </c>
      <c r="I37" s="5">
        <v>611.10400000000004</v>
      </c>
      <c r="J37" s="5">
        <v>679.77800000000002</v>
      </c>
      <c r="K37" s="5">
        <v>645.048</v>
      </c>
      <c r="L37" s="5">
        <v>406.80200000000002</v>
      </c>
      <c r="M37" s="5">
        <v>605.69600000000003</v>
      </c>
      <c r="N37" s="5">
        <v>1094.4000000000001</v>
      </c>
      <c r="O37" s="5">
        <v>468.30799999999999</v>
      </c>
      <c r="P37" s="5">
        <v>762.3</v>
      </c>
      <c r="Q37" s="5">
        <v>328.70600000000002</v>
      </c>
      <c r="R37" s="5">
        <v>222.2</v>
      </c>
      <c r="S37" s="5">
        <v>334.62</v>
      </c>
      <c r="T37" s="5">
        <v>336.64299999999997</v>
      </c>
      <c r="U37" s="5">
        <v>437.76</v>
      </c>
    </row>
    <row r="38" spans="1:21" x14ac:dyDescent="0.2">
      <c r="A38" s="8">
        <v>53</v>
      </c>
      <c r="B38" s="5">
        <v>1346.7</v>
      </c>
      <c r="C38" s="5">
        <v>1266.6400000000001</v>
      </c>
      <c r="D38" s="5">
        <v>1015.2</v>
      </c>
      <c r="E38" s="5">
        <v>597.58399999999995</v>
      </c>
      <c r="F38" s="5">
        <v>446.738</v>
      </c>
      <c r="G38" s="5">
        <v>567.84</v>
      </c>
      <c r="H38" s="5">
        <v>699.84</v>
      </c>
      <c r="I38" s="5">
        <v>1037.8800000000001</v>
      </c>
      <c r="J38" s="5">
        <v>527.90200000000004</v>
      </c>
      <c r="K38" s="5">
        <v>780.45</v>
      </c>
      <c r="L38" s="5">
        <v>467.87700000000001</v>
      </c>
      <c r="M38" s="5">
        <v>1008.72</v>
      </c>
      <c r="N38" s="5">
        <v>567.84</v>
      </c>
      <c r="O38" s="5">
        <v>719.10400000000004</v>
      </c>
      <c r="P38" s="5">
        <v>839.78800000000001</v>
      </c>
      <c r="Q38" s="5">
        <v>358.42500000000001</v>
      </c>
      <c r="R38" s="5">
        <v>328.536</v>
      </c>
      <c r="S38" s="5">
        <v>406.50299999999999</v>
      </c>
      <c r="T38" s="5">
        <v>503.38200000000001</v>
      </c>
      <c r="U38" s="5">
        <v>396.9</v>
      </c>
    </row>
    <row r="39" spans="1:21" x14ac:dyDescent="0.2">
      <c r="A39" s="8">
        <v>56</v>
      </c>
      <c r="B39" s="5">
        <v>1512.3</v>
      </c>
      <c r="C39" s="5">
        <v>1387.2</v>
      </c>
      <c r="D39" s="5">
        <v>1479.68</v>
      </c>
      <c r="E39" s="5">
        <v>506.88</v>
      </c>
      <c r="F39" s="5">
        <v>798.6</v>
      </c>
      <c r="G39" s="5">
        <v>1119.26</v>
      </c>
      <c r="H39" s="5">
        <v>727.83299999999997</v>
      </c>
      <c r="I39" s="5">
        <v>686.81600000000003</v>
      </c>
      <c r="J39" s="5">
        <v>650</v>
      </c>
      <c r="K39" s="5">
        <v>839.78800000000001</v>
      </c>
      <c r="L39" s="5">
        <v>1065.5999999999999</v>
      </c>
      <c r="M39" s="5">
        <v>425.27</v>
      </c>
      <c r="N39" s="5">
        <v>742.56299999999999</v>
      </c>
      <c r="O39" s="5">
        <v>565</v>
      </c>
      <c r="P39" s="5">
        <v>867.91200000000003</v>
      </c>
      <c r="Q39" s="5">
        <v>556.97299999999996</v>
      </c>
      <c r="R39" s="5">
        <v>440.12799999999999</v>
      </c>
      <c r="S39" s="5">
        <v>355.00799999999998</v>
      </c>
      <c r="T39" s="5">
        <v>476.84699999999998</v>
      </c>
      <c r="U39" s="5">
        <v>377.19600000000003</v>
      </c>
    </row>
    <row r="41" spans="1:21" x14ac:dyDescent="0.2">
      <c r="A41" s="3" t="s">
        <v>69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53" t="s">
        <v>25</v>
      </c>
      <c r="B42" s="53"/>
      <c r="C42" s="53"/>
      <c r="D42" s="53"/>
      <c r="E42" s="53"/>
      <c r="F42" s="53" t="s">
        <v>66</v>
      </c>
      <c r="G42" s="53"/>
      <c r="H42" s="53"/>
      <c r="I42" s="53"/>
      <c r="J42" s="53"/>
      <c r="K42" s="53" t="s">
        <v>67</v>
      </c>
      <c r="L42" s="53"/>
      <c r="M42" s="53"/>
      <c r="N42" s="53"/>
      <c r="O42" s="53"/>
      <c r="P42" s="53" t="s">
        <v>68</v>
      </c>
      <c r="Q42" s="53"/>
      <c r="R42" s="53"/>
      <c r="S42" s="53"/>
      <c r="T42" s="53"/>
      <c r="U42" s="4"/>
    </row>
    <row r="43" spans="1:21" x14ac:dyDescent="0.2">
      <c r="A43" s="5">
        <v>76</v>
      </c>
      <c r="B43" s="5">
        <v>84</v>
      </c>
      <c r="C43" s="5">
        <v>89</v>
      </c>
      <c r="D43" s="5">
        <v>92</v>
      </c>
      <c r="E43" s="5">
        <v>81</v>
      </c>
      <c r="F43" s="5">
        <v>58</v>
      </c>
      <c r="G43" s="5">
        <v>63</v>
      </c>
      <c r="H43" s="5">
        <v>59</v>
      </c>
      <c r="I43" s="5">
        <v>63</v>
      </c>
      <c r="J43" s="5">
        <v>50</v>
      </c>
      <c r="K43" s="5">
        <v>53</v>
      </c>
      <c r="L43" s="5">
        <v>60</v>
      </c>
      <c r="M43" s="5">
        <v>72</v>
      </c>
      <c r="N43" s="5">
        <v>70</v>
      </c>
      <c r="O43" s="5">
        <v>62</v>
      </c>
      <c r="P43" s="5">
        <v>26</v>
      </c>
      <c r="Q43" s="5">
        <v>19</v>
      </c>
      <c r="R43" s="5">
        <v>26</v>
      </c>
      <c r="S43" s="5">
        <v>33</v>
      </c>
      <c r="T43" s="5">
        <v>11</v>
      </c>
      <c r="U43" s="4" t="s">
        <v>6</v>
      </c>
    </row>
    <row r="44" spans="1:21" x14ac:dyDescent="0.2">
      <c r="A44" s="5">
        <v>61</v>
      </c>
      <c r="B44" s="5">
        <v>59</v>
      </c>
      <c r="C44" s="5">
        <v>72</v>
      </c>
      <c r="D44" s="5">
        <v>63</v>
      </c>
      <c r="E44" s="5">
        <v>54</v>
      </c>
      <c r="F44" s="5">
        <v>52</v>
      </c>
      <c r="G44" s="5">
        <v>36</v>
      </c>
      <c r="H44" s="5">
        <v>49</v>
      </c>
      <c r="I44" s="5">
        <v>33</v>
      </c>
      <c r="J44" s="5">
        <v>41</v>
      </c>
      <c r="K44" s="5">
        <v>39</v>
      </c>
      <c r="L44" s="5">
        <v>42</v>
      </c>
      <c r="M44" s="5">
        <v>31</v>
      </c>
      <c r="N44" s="5">
        <v>38</v>
      </c>
      <c r="O44" s="5">
        <v>29</v>
      </c>
      <c r="P44" s="5">
        <v>11</v>
      </c>
      <c r="Q44" s="5">
        <v>8</v>
      </c>
      <c r="R44" s="5">
        <v>3</v>
      </c>
      <c r="S44" s="5">
        <v>8</v>
      </c>
      <c r="T44" s="5">
        <v>12</v>
      </c>
      <c r="U44" s="4" t="s">
        <v>70</v>
      </c>
    </row>
    <row r="45" spans="1:21" x14ac:dyDescent="0.2">
      <c r="A45" s="5">
        <v>14</v>
      </c>
      <c r="B45" s="5">
        <v>12</v>
      </c>
      <c r="C45" s="5">
        <v>19</v>
      </c>
      <c r="D45" s="5">
        <v>7</v>
      </c>
      <c r="E45" s="5">
        <v>4</v>
      </c>
      <c r="F45" s="5">
        <v>40</v>
      </c>
      <c r="G45" s="5">
        <v>51</v>
      </c>
      <c r="H45" s="5">
        <v>39</v>
      </c>
      <c r="I45" s="5">
        <v>53</v>
      </c>
      <c r="J45" s="5">
        <v>56</v>
      </c>
      <c r="K45" s="5">
        <v>32</v>
      </c>
      <c r="L45" s="5">
        <v>16</v>
      </c>
      <c r="M45" s="5">
        <v>25</v>
      </c>
      <c r="N45" s="5">
        <v>19</v>
      </c>
      <c r="O45" s="5">
        <v>21</v>
      </c>
      <c r="P45" s="5">
        <v>89</v>
      </c>
      <c r="Q45" s="5">
        <v>82</v>
      </c>
      <c r="R45" s="5">
        <v>93</v>
      </c>
      <c r="S45" s="5">
        <v>92</v>
      </c>
      <c r="T45" s="5">
        <v>96</v>
      </c>
      <c r="U45" s="4" t="s">
        <v>71</v>
      </c>
    </row>
  </sheetData>
  <mergeCells count="26">
    <mergeCell ref="B2:D2"/>
    <mergeCell ref="E2:G2"/>
    <mergeCell ref="H4:H6"/>
    <mergeCell ref="K2:M2"/>
    <mergeCell ref="N2:P2"/>
    <mergeCell ref="Q4:Q6"/>
    <mergeCell ref="B23:E23"/>
    <mergeCell ref="F23:I23"/>
    <mergeCell ref="J23:M23"/>
    <mergeCell ref="B16:E16"/>
    <mergeCell ref="F16:I16"/>
    <mergeCell ref="J16:M16"/>
    <mergeCell ref="B9:F9"/>
    <mergeCell ref="G9:K9"/>
    <mergeCell ref="L9:P9"/>
    <mergeCell ref="U9:Y9"/>
    <mergeCell ref="Z9:AD9"/>
    <mergeCell ref="AE9:AI9"/>
    <mergeCell ref="A42:E42"/>
    <mergeCell ref="F42:J42"/>
    <mergeCell ref="K42:O42"/>
    <mergeCell ref="P42:T42"/>
    <mergeCell ref="B33:F33"/>
    <mergeCell ref="G33:K33"/>
    <mergeCell ref="L33:P33"/>
    <mergeCell ref="Q33:U33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7"/>
  <sheetViews>
    <sheetView topLeftCell="A21" zoomScale="111" workbookViewId="0">
      <selection activeCell="I40" sqref="I40"/>
    </sheetView>
  </sheetViews>
  <sheetFormatPr baseColWidth="10" defaultColWidth="8.83203125" defaultRowHeight="15" x14ac:dyDescent="0.2"/>
  <cols>
    <col min="1" max="3" width="9" bestFit="1" customWidth="1"/>
    <col min="4" max="4" width="12" bestFit="1" customWidth="1"/>
    <col min="5" max="9" width="9" bestFit="1" customWidth="1"/>
    <col min="11" max="16" width="9" bestFit="1" customWidth="1"/>
    <col min="17" max="17" width="11.83203125" bestFit="1" customWidth="1"/>
    <col min="18" max="18" width="9" bestFit="1" customWidth="1"/>
    <col min="24" max="24" width="11.83203125" bestFit="1" customWidth="1"/>
  </cols>
  <sheetData>
    <row r="1" spans="1:24" x14ac:dyDescent="0.2">
      <c r="A1" s="3" t="s">
        <v>388</v>
      </c>
      <c r="B1" s="4"/>
      <c r="C1" s="4"/>
      <c r="D1" s="4"/>
      <c r="E1" s="4"/>
      <c r="F1" s="4"/>
      <c r="G1" s="4"/>
    </row>
    <row r="2" spans="1:24" x14ac:dyDescent="0.2">
      <c r="A2" s="54" t="s">
        <v>3</v>
      </c>
      <c r="B2" s="54"/>
      <c r="C2" s="54"/>
      <c r="D2" s="54" t="s">
        <v>4</v>
      </c>
      <c r="E2" s="54"/>
      <c r="F2" s="54"/>
      <c r="G2" s="4"/>
    </row>
    <row r="3" spans="1:24" x14ac:dyDescent="0.2">
      <c r="A3" s="7">
        <v>1.10765582</v>
      </c>
      <c r="B3" s="7">
        <v>0.99662832000000001</v>
      </c>
      <c r="C3" s="7">
        <v>0.90586179</v>
      </c>
      <c r="D3" s="7">
        <v>0.92156744999999995</v>
      </c>
      <c r="E3" s="7">
        <v>0.94007521999999999</v>
      </c>
      <c r="F3" s="7">
        <v>0.95337291000000002</v>
      </c>
      <c r="G3" s="6" t="s">
        <v>6</v>
      </c>
    </row>
    <row r="4" spans="1:24" x14ac:dyDescent="0.2">
      <c r="D4">
        <f>_xlfn.T.TEST(A3:C3,D3:F3,2,2)</f>
        <v>0.33268438496771763</v>
      </c>
      <c r="H4" t="s">
        <v>391</v>
      </c>
    </row>
    <row r="5" spans="1:24" x14ac:dyDescent="0.2">
      <c r="A5" s="3" t="s">
        <v>10</v>
      </c>
      <c r="B5" s="4"/>
      <c r="C5" s="4"/>
      <c r="D5" s="4"/>
      <c r="E5" s="4"/>
      <c r="F5" s="4"/>
      <c r="G5" s="4"/>
      <c r="H5" s="4"/>
      <c r="I5" s="4"/>
      <c r="J5" s="4"/>
      <c r="N5" s="3" t="s">
        <v>18</v>
      </c>
      <c r="O5" s="4"/>
      <c r="P5" s="4"/>
      <c r="Q5" s="4"/>
      <c r="R5" s="4"/>
      <c r="S5" s="4"/>
      <c r="T5" s="4"/>
      <c r="V5" s="3" t="s">
        <v>390</v>
      </c>
      <c r="W5" s="4"/>
    </row>
    <row r="6" spans="1:24" x14ac:dyDescent="0.2">
      <c r="A6" s="54" t="s">
        <v>3</v>
      </c>
      <c r="B6" s="54"/>
      <c r="C6" s="54"/>
      <c r="D6" s="54" t="s">
        <v>4</v>
      </c>
      <c r="E6" s="54"/>
      <c r="F6" s="54"/>
      <c r="G6" s="54" t="s">
        <v>5</v>
      </c>
      <c r="H6" s="54"/>
      <c r="I6" s="54"/>
      <c r="J6" s="4"/>
      <c r="N6" s="63" t="s">
        <v>3</v>
      </c>
      <c r="O6" s="64"/>
      <c r="P6" s="65"/>
      <c r="Q6" s="63" t="s">
        <v>4</v>
      </c>
      <c r="R6" s="64"/>
      <c r="S6" s="65"/>
      <c r="T6" s="4"/>
      <c r="V6" s="9" t="s">
        <v>7</v>
      </c>
      <c r="W6" s="9" t="s">
        <v>8</v>
      </c>
    </row>
    <row r="7" spans="1:24" x14ac:dyDescent="0.2">
      <c r="A7" s="7">
        <v>0.98773533000000002</v>
      </c>
      <c r="B7" s="7">
        <v>1.08105644</v>
      </c>
      <c r="C7" s="7">
        <v>0.93650703999999996</v>
      </c>
      <c r="D7" s="7">
        <v>0.97566052000000003</v>
      </c>
      <c r="E7" s="7">
        <v>1.0615994099999999</v>
      </c>
      <c r="F7" s="7">
        <v>0.94322711000000004</v>
      </c>
      <c r="G7" s="7">
        <v>0.99343473999999998</v>
      </c>
      <c r="H7" s="7">
        <v>1.0078226299999999</v>
      </c>
      <c r="I7" s="7">
        <v>1.50682016</v>
      </c>
      <c r="J7" s="6" t="s">
        <v>6</v>
      </c>
      <c r="N7" s="7">
        <v>0.95263799999999998</v>
      </c>
      <c r="O7" s="7">
        <v>0.99309199999999997</v>
      </c>
      <c r="P7" s="7">
        <v>1.057018</v>
      </c>
      <c r="Q7" s="7">
        <v>1.2599210000000001</v>
      </c>
      <c r="R7" s="7">
        <v>1.4174850000000001</v>
      </c>
      <c r="S7" s="7">
        <v>1.6170150000000001</v>
      </c>
      <c r="T7" s="6" t="s">
        <v>6</v>
      </c>
      <c r="V7" s="7">
        <v>1791</v>
      </c>
      <c r="W7" s="7">
        <v>218</v>
      </c>
      <c r="X7">
        <f>_xlfn.T.TEST(V7:V9,W7:W9,2,2)</f>
        <v>5.1552442414159466E-6</v>
      </c>
    </row>
    <row r="8" spans="1:24" x14ac:dyDescent="0.2">
      <c r="D8">
        <f>_xlfn.T.TEST(A7:C7,D7:F7,2,2)</f>
        <v>0.8879785969018662</v>
      </c>
      <c r="G8">
        <f>_xlfn.T.TEST(A7:C7,G7:I7,2,2)</f>
        <v>0.39001390268073721</v>
      </c>
      <c r="J8" s="4"/>
      <c r="K8" t="s">
        <v>391</v>
      </c>
      <c r="Q8">
        <f>_xlfn.T.TEST(N7:P7,Q7:S7,2,2)</f>
        <v>1.6158481765040152E-2</v>
      </c>
      <c r="U8" t="s">
        <v>391</v>
      </c>
      <c r="V8" s="7">
        <v>1642</v>
      </c>
      <c r="W8" s="7">
        <v>252</v>
      </c>
    </row>
    <row r="9" spans="1:24" x14ac:dyDescent="0.2">
      <c r="A9" s="7">
        <v>1.0718917699999999</v>
      </c>
      <c r="B9" s="7">
        <v>1.02924813</v>
      </c>
      <c r="C9" s="7">
        <v>0.90641894999999995</v>
      </c>
      <c r="D9" s="7">
        <v>14.627917999999999</v>
      </c>
      <c r="E9" s="7">
        <v>13.9988771</v>
      </c>
      <c r="F9" s="7">
        <v>13.038947800000001</v>
      </c>
      <c r="G9" s="7">
        <v>12.6356573</v>
      </c>
      <c r="H9" s="7">
        <v>13.645925099999999</v>
      </c>
      <c r="I9" s="7">
        <v>17.94764</v>
      </c>
      <c r="J9" s="6" t="s">
        <v>1</v>
      </c>
      <c r="N9" s="7">
        <v>0.92018800000000001</v>
      </c>
      <c r="O9" s="7">
        <v>1.1250579999999999</v>
      </c>
      <c r="P9" s="7">
        <v>0.96593600000000002</v>
      </c>
      <c r="Q9" s="7">
        <v>2.01857</v>
      </c>
      <c r="R9" s="7">
        <v>2.0609839999999999</v>
      </c>
      <c r="S9" s="7">
        <v>2.0897540000000001</v>
      </c>
      <c r="T9" s="6" t="s">
        <v>1</v>
      </c>
      <c r="V9" s="7">
        <v>1711</v>
      </c>
      <c r="W9" s="7">
        <v>259</v>
      </c>
    </row>
    <row r="10" spans="1:24" x14ac:dyDescent="0.2">
      <c r="D10">
        <f>_xlfn.T.TEST(A9:C9,D9:F9,2,2)</f>
        <v>1.0056251958824171E-5</v>
      </c>
      <c r="G10">
        <f>_xlfn.T.TEST(A9:C9,G9:I9,2,2)</f>
        <v>1.0828105403169032E-3</v>
      </c>
      <c r="K10" t="s">
        <v>391</v>
      </c>
      <c r="Q10">
        <f>_xlfn.T.TEST(N9:P9,Q9:S9,2,2)</f>
        <v>8.7323545719764426E-5</v>
      </c>
      <c r="U10" t="s">
        <v>391</v>
      </c>
    </row>
    <row r="11" spans="1:24" x14ac:dyDescent="0.2">
      <c r="A11" s="3" t="s">
        <v>12</v>
      </c>
      <c r="B11" s="4"/>
      <c r="C11" s="4"/>
      <c r="D11" s="4"/>
      <c r="E11" s="4"/>
      <c r="F11" s="4"/>
      <c r="G11" s="4"/>
      <c r="K11" s="3" t="s">
        <v>24</v>
      </c>
      <c r="L11" s="4"/>
      <c r="M11" s="4"/>
      <c r="N11" s="4"/>
      <c r="O11" s="4"/>
      <c r="P11" s="4"/>
      <c r="Q11" s="4"/>
    </row>
    <row r="12" spans="1:24" x14ac:dyDescent="0.2">
      <c r="A12" s="54" t="s">
        <v>106</v>
      </c>
      <c r="B12" s="54"/>
      <c r="C12" s="54"/>
      <c r="D12" s="54" t="s">
        <v>8</v>
      </c>
      <c r="E12" s="54"/>
      <c r="F12" s="54"/>
      <c r="G12" s="4"/>
      <c r="H12" t="s">
        <v>391</v>
      </c>
      <c r="K12" s="54" t="s">
        <v>106</v>
      </c>
      <c r="L12" s="54"/>
      <c r="M12" s="54"/>
      <c r="N12" s="63" t="s">
        <v>8</v>
      </c>
      <c r="O12" s="64"/>
      <c r="P12" s="65"/>
      <c r="Q12" s="4"/>
      <c r="R12" t="s">
        <v>391</v>
      </c>
    </row>
    <row r="13" spans="1:24" x14ac:dyDescent="0.2">
      <c r="A13" s="1">
        <v>0.98773533000000002</v>
      </c>
      <c r="B13" s="1">
        <v>1.08105644</v>
      </c>
      <c r="C13" s="1">
        <v>0.93650703999999996</v>
      </c>
      <c r="D13" s="1">
        <v>1.3856771400000001</v>
      </c>
      <c r="E13" s="1">
        <v>1.34013118</v>
      </c>
      <c r="F13" s="1">
        <v>1.25130769</v>
      </c>
      <c r="G13" s="6" t="s">
        <v>6</v>
      </c>
      <c r="H13">
        <f>_xlfn.T.TEST(A13:C13,D13:F13,2,2)</f>
        <v>4.9944651178144171E-3</v>
      </c>
      <c r="K13" s="7">
        <v>0.95263799999999998</v>
      </c>
      <c r="L13" s="7">
        <v>0.99309199999999997</v>
      </c>
      <c r="M13" s="7">
        <v>1.057018</v>
      </c>
      <c r="N13" s="7">
        <v>1.628263</v>
      </c>
      <c r="O13" s="7">
        <v>1.819237</v>
      </c>
      <c r="P13" s="7">
        <v>1.8574630000000001</v>
      </c>
      <c r="Q13" s="6" t="s">
        <v>6</v>
      </c>
      <c r="R13">
        <f>_xlfn.T.TEST(K13:M13,N13:P13,2,2)</f>
        <v>5.7313147603252877E-4</v>
      </c>
    </row>
    <row r="14" spans="1:24" x14ac:dyDescent="0.2">
      <c r="A14" s="54" t="s">
        <v>106</v>
      </c>
      <c r="B14" s="54"/>
      <c r="C14" s="54"/>
      <c r="D14" s="54" t="s">
        <v>8</v>
      </c>
      <c r="E14" s="54"/>
      <c r="F14" s="54"/>
      <c r="G14" s="4"/>
      <c r="K14" s="54" t="s">
        <v>106</v>
      </c>
      <c r="L14" s="54"/>
      <c r="M14" s="54"/>
      <c r="N14" s="63" t="s">
        <v>8</v>
      </c>
      <c r="O14" s="64"/>
      <c r="P14" s="65"/>
      <c r="Q14" s="4"/>
    </row>
    <row r="15" spans="1:24" x14ac:dyDescent="0.2">
      <c r="A15" s="1">
        <v>1.0718917699999999</v>
      </c>
      <c r="B15" s="1">
        <v>1.02924813</v>
      </c>
      <c r="C15" s="1">
        <v>0.90641894999999995</v>
      </c>
      <c r="D15" s="1">
        <v>6.2617071299999996</v>
      </c>
      <c r="E15" s="1">
        <v>6.9746659600000003</v>
      </c>
      <c r="F15" s="1">
        <v>6.5068084500000003</v>
      </c>
      <c r="G15" s="6" t="s">
        <v>1</v>
      </c>
      <c r="H15">
        <f>_xlfn.T.TEST(A15:C15,D15:F15,2,2)</f>
        <v>1.3092647879991737E-5</v>
      </c>
      <c r="K15" s="7">
        <v>0.92018800000000001</v>
      </c>
      <c r="L15" s="7">
        <v>1.1250579999999999</v>
      </c>
      <c r="M15" s="7">
        <v>0.96593600000000002</v>
      </c>
      <c r="N15" s="7">
        <v>1.52979</v>
      </c>
      <c r="O15" s="7">
        <v>1.639588</v>
      </c>
      <c r="P15" s="7">
        <v>1.5619339999999999</v>
      </c>
      <c r="Q15" s="6" t="s">
        <v>1</v>
      </c>
      <c r="R15">
        <f>_xlfn.T.TEST(K15:M15,N15:P15,2,2)</f>
        <v>1.2180341139062727E-3</v>
      </c>
    </row>
    <row r="17" spans="1:11" x14ac:dyDescent="0.2">
      <c r="A17" s="3" t="s">
        <v>389</v>
      </c>
      <c r="B17" s="4"/>
      <c r="C17" s="4"/>
      <c r="D17" s="4"/>
      <c r="E17" s="4"/>
      <c r="F17" s="4"/>
      <c r="G17" s="4"/>
    </row>
    <row r="18" spans="1:11" x14ac:dyDescent="0.2">
      <c r="A18" s="4"/>
      <c r="B18" s="54" t="s">
        <v>22</v>
      </c>
      <c r="C18" s="54"/>
      <c r="D18" s="54"/>
      <c r="E18" s="54" t="s">
        <v>23</v>
      </c>
      <c r="F18" s="54"/>
      <c r="G18" s="54"/>
    </row>
    <row r="19" spans="1:11" x14ac:dyDescent="0.2">
      <c r="A19" s="10">
        <v>0.5</v>
      </c>
      <c r="B19" s="7">
        <v>2841</v>
      </c>
      <c r="C19" s="7">
        <v>3071</v>
      </c>
      <c r="D19" s="7">
        <v>3106</v>
      </c>
      <c r="E19" s="7">
        <v>1101</v>
      </c>
      <c r="F19" s="7">
        <v>1246</v>
      </c>
      <c r="G19" s="7">
        <v>1312</v>
      </c>
    </row>
    <row r="20" spans="1:11" x14ac:dyDescent="0.2">
      <c r="A20" s="10">
        <v>1</v>
      </c>
      <c r="B20" s="7">
        <v>5540</v>
      </c>
      <c r="C20" s="7">
        <v>5541</v>
      </c>
      <c r="D20" s="7">
        <v>5449</v>
      </c>
      <c r="E20" s="7">
        <v>2194</v>
      </c>
      <c r="F20" s="7">
        <v>2144</v>
      </c>
      <c r="G20" s="7">
        <v>2158</v>
      </c>
    </row>
    <row r="21" spans="1:11" x14ac:dyDescent="0.2">
      <c r="A21" s="10">
        <v>1.5</v>
      </c>
      <c r="B21" s="7">
        <v>6399</v>
      </c>
      <c r="C21" s="7">
        <v>6483</v>
      </c>
      <c r="D21" s="7">
        <v>6656</v>
      </c>
      <c r="E21" s="7">
        <v>2936</v>
      </c>
      <c r="F21" s="7">
        <v>3130</v>
      </c>
      <c r="G21" s="7">
        <v>3099</v>
      </c>
    </row>
    <row r="22" spans="1:11" x14ac:dyDescent="0.2">
      <c r="A22" s="10">
        <v>2</v>
      </c>
      <c r="B22" s="7">
        <v>7596</v>
      </c>
      <c r="C22" s="7">
        <v>8186</v>
      </c>
      <c r="D22" s="7">
        <v>7225</v>
      </c>
      <c r="E22" s="7">
        <v>3495</v>
      </c>
      <c r="F22" s="7">
        <v>3501</v>
      </c>
      <c r="G22" s="7">
        <v>3498</v>
      </c>
    </row>
    <row r="23" spans="1:11" x14ac:dyDescent="0.2">
      <c r="A23" s="10"/>
      <c r="B23" s="7"/>
      <c r="C23" s="7"/>
      <c r="D23" s="7"/>
      <c r="E23" s="7"/>
      <c r="F23" s="7"/>
      <c r="G23" s="7"/>
    </row>
    <row r="24" spans="1:11" x14ac:dyDescent="0.2">
      <c r="A24" s="3" t="s">
        <v>9</v>
      </c>
      <c r="B24" s="4"/>
      <c r="C24" s="4"/>
      <c r="D24" s="4"/>
      <c r="E24" s="4"/>
      <c r="F24" s="4"/>
      <c r="G24" s="4"/>
      <c r="H24" s="4"/>
      <c r="I24" s="4"/>
      <c r="J24" s="4"/>
    </row>
    <row r="25" spans="1:11" x14ac:dyDescent="0.2">
      <c r="A25" s="53" t="s">
        <v>3</v>
      </c>
      <c r="B25" s="53"/>
      <c r="C25" s="53"/>
      <c r="D25" s="53" t="s">
        <v>4</v>
      </c>
      <c r="E25" s="53"/>
      <c r="F25" s="53"/>
      <c r="G25" s="53" t="s">
        <v>5</v>
      </c>
      <c r="H25" s="53"/>
      <c r="I25" s="53"/>
      <c r="J25" s="4"/>
    </row>
    <row r="26" spans="1:11" x14ac:dyDescent="0.2">
      <c r="A26" s="5">
        <v>1.0139590000000001</v>
      </c>
      <c r="B26" s="5">
        <v>0.939523</v>
      </c>
      <c r="C26" s="5">
        <v>1.049717</v>
      </c>
      <c r="D26" s="5">
        <v>1.709214</v>
      </c>
      <c r="E26" s="5">
        <v>1.7941910000000001</v>
      </c>
      <c r="F26" s="5">
        <v>1.628263</v>
      </c>
      <c r="G26" s="5">
        <v>1.4044449999999999</v>
      </c>
      <c r="H26" s="5">
        <v>1.6701760000000001</v>
      </c>
      <c r="I26" s="5">
        <v>1.526259</v>
      </c>
      <c r="J26" s="6" t="s">
        <v>6</v>
      </c>
    </row>
    <row r="27" spans="1:11" x14ac:dyDescent="0.2">
      <c r="D27">
        <f>_xlfn.T.TEST(A26:C26,D26:F26,2,2)</f>
        <v>2.5408747330675323E-4</v>
      </c>
      <c r="G27">
        <f>_xlfn.T.TEST(A26:C26,G26:I26,2,2)</f>
        <v>3.0831612888411759E-3</v>
      </c>
      <c r="J27" s="6"/>
      <c r="K27" t="s">
        <v>391</v>
      </c>
    </row>
    <row r="28" spans="1:11" x14ac:dyDescent="0.2">
      <c r="A28" s="5">
        <v>0.94605799999999995</v>
      </c>
      <c r="B28" s="5">
        <v>0.97265500000000005</v>
      </c>
      <c r="C28" s="5">
        <v>1.086735</v>
      </c>
      <c r="D28" s="5">
        <v>7.799239</v>
      </c>
      <c r="E28" s="5">
        <v>8.3012770000000007</v>
      </c>
      <c r="F28" s="5">
        <v>7.8534870000000003</v>
      </c>
      <c r="G28" s="5">
        <v>6.4830230000000002</v>
      </c>
      <c r="H28" s="5">
        <v>7.447038</v>
      </c>
      <c r="I28" s="5">
        <v>7.3955970000000004</v>
      </c>
      <c r="J28" s="6" t="s">
        <v>1</v>
      </c>
    </row>
    <row r="29" spans="1:11" x14ac:dyDescent="0.2">
      <c r="D29">
        <f>_xlfn.T.TEST(A28:C28,D28:F28,2,2)</f>
        <v>1.8556819778392629E-6</v>
      </c>
      <c r="G29">
        <f>_xlfn.T.TEST(A28:C28,G28:I28,2,2)</f>
        <v>4.2302342718325022E-5</v>
      </c>
      <c r="K29" t="s">
        <v>391</v>
      </c>
    </row>
    <row r="32" spans="1:11" x14ac:dyDescent="0.2">
      <c r="A32" s="3" t="s">
        <v>438</v>
      </c>
      <c r="B32" s="4"/>
      <c r="C32" s="4"/>
      <c r="D32" s="4"/>
      <c r="E32" s="4"/>
      <c r="F32" s="4"/>
      <c r="G32" s="4"/>
    </row>
    <row r="33" spans="1:8" x14ac:dyDescent="0.2">
      <c r="A33" s="54" t="s">
        <v>7</v>
      </c>
      <c r="B33" s="54"/>
      <c r="C33" s="54"/>
      <c r="D33" s="54" t="s">
        <v>8</v>
      </c>
      <c r="E33" s="54"/>
      <c r="F33" s="54"/>
      <c r="G33" s="4"/>
    </row>
    <row r="34" spans="1:8" x14ac:dyDescent="0.2">
      <c r="A34" s="7">
        <v>1.0139590000000001</v>
      </c>
      <c r="B34" s="7">
        <v>0.939523</v>
      </c>
      <c r="C34" s="7">
        <v>1.049717</v>
      </c>
      <c r="D34" s="7">
        <v>1.328686</v>
      </c>
      <c r="E34" s="7">
        <v>1.4948490000000001</v>
      </c>
      <c r="F34" s="7">
        <v>1.205808</v>
      </c>
      <c r="G34" s="6" t="s">
        <v>6</v>
      </c>
    </row>
    <row r="35" spans="1:8" x14ac:dyDescent="0.2">
      <c r="D35">
        <f>_xlfn.T.TEST(A34:C34,D34:F34,2,2)</f>
        <v>1.8969958003685325E-2</v>
      </c>
      <c r="G35" s="4"/>
      <c r="H35" t="s">
        <v>391</v>
      </c>
    </row>
    <row r="36" spans="1:8" x14ac:dyDescent="0.2">
      <c r="A36" s="7">
        <v>0.94605799999999995</v>
      </c>
      <c r="B36" s="7">
        <v>0.97265500000000005</v>
      </c>
      <c r="C36" s="7">
        <v>1.086735</v>
      </c>
      <c r="D36" s="7">
        <v>1.2141949999999999</v>
      </c>
      <c r="E36" s="7">
        <v>1.3195079999999999</v>
      </c>
      <c r="F36" s="7">
        <v>1.2745610000000001</v>
      </c>
      <c r="G36" s="6" t="s">
        <v>1</v>
      </c>
    </row>
    <row r="37" spans="1:8" x14ac:dyDescent="0.2">
      <c r="D37">
        <f>_xlfn.T.TEST(A36:C36,D36:F36,2,2)</f>
        <v>7.1606269285903737E-3</v>
      </c>
      <c r="H37" t="s">
        <v>391</v>
      </c>
    </row>
  </sheetData>
  <mergeCells count="22">
    <mergeCell ref="D33:F33"/>
    <mergeCell ref="A33:C33"/>
    <mergeCell ref="A2:C2"/>
    <mergeCell ref="D2:F2"/>
    <mergeCell ref="B18:D18"/>
    <mergeCell ref="A6:C6"/>
    <mergeCell ref="D6:F6"/>
    <mergeCell ref="A25:C25"/>
    <mergeCell ref="D25:F25"/>
    <mergeCell ref="G25:I25"/>
    <mergeCell ref="E18:G18"/>
    <mergeCell ref="N14:P14"/>
    <mergeCell ref="K14:M14"/>
    <mergeCell ref="Q6:S6"/>
    <mergeCell ref="N6:P6"/>
    <mergeCell ref="A14:C14"/>
    <mergeCell ref="D14:F14"/>
    <mergeCell ref="A12:C12"/>
    <mergeCell ref="D12:F12"/>
    <mergeCell ref="N12:P12"/>
    <mergeCell ref="G6:I6"/>
    <mergeCell ref="K12:M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9810-2BBC-3344-94EA-F0558E1F30D7}">
  <dimension ref="A1:L41"/>
  <sheetViews>
    <sheetView topLeftCell="A28" zoomScale="116" workbookViewId="0">
      <selection activeCell="O32" sqref="O32"/>
    </sheetView>
  </sheetViews>
  <sheetFormatPr baseColWidth="10" defaultColWidth="8.83203125" defaultRowHeight="15" x14ac:dyDescent="0.2"/>
  <cols>
    <col min="4" max="4" width="11.83203125" bestFit="1" customWidth="1"/>
    <col min="24" max="24" width="11.83203125" bestFit="1" customWidth="1"/>
  </cols>
  <sheetData>
    <row r="1" spans="1:10" x14ac:dyDescent="0.2">
      <c r="A1" s="10"/>
      <c r="B1" s="7"/>
      <c r="C1" s="7"/>
      <c r="D1" s="7"/>
      <c r="E1" s="7"/>
      <c r="F1" s="7"/>
      <c r="G1" s="7"/>
    </row>
    <row r="2" spans="1:10" x14ac:dyDescent="0.2">
      <c r="I2" s="4"/>
      <c r="J2" s="4"/>
    </row>
    <row r="3" spans="1:10" x14ac:dyDescent="0.2">
      <c r="I3" s="52"/>
      <c r="J3" s="4"/>
    </row>
    <row r="4" spans="1:10" x14ac:dyDescent="0.2">
      <c r="I4" s="5"/>
      <c r="J4" s="6"/>
    </row>
    <row r="5" spans="1:10" x14ac:dyDescent="0.2">
      <c r="J5" s="6"/>
    </row>
    <row r="6" spans="1:10" x14ac:dyDescent="0.2">
      <c r="I6" s="5"/>
      <c r="J6" s="6"/>
    </row>
    <row r="8" spans="1:10" x14ac:dyDescent="0.2">
      <c r="A8" s="3" t="s">
        <v>439</v>
      </c>
      <c r="B8" s="4"/>
      <c r="C8" s="4"/>
      <c r="D8" s="4"/>
      <c r="E8" s="4"/>
      <c r="F8" s="4"/>
      <c r="G8" s="4"/>
    </row>
    <row r="9" spans="1:10" x14ac:dyDescent="0.2">
      <c r="A9" s="4"/>
      <c r="B9" s="53" t="s">
        <v>0</v>
      </c>
      <c r="C9" s="53"/>
      <c r="D9" s="53"/>
      <c r="E9" s="53" t="s">
        <v>1</v>
      </c>
      <c r="F9" s="53"/>
      <c r="G9" s="53"/>
      <c r="H9" t="s">
        <v>391</v>
      </c>
    </row>
    <row r="10" spans="1:10" x14ac:dyDescent="0.2">
      <c r="A10" s="8">
        <v>2</v>
      </c>
      <c r="B10" s="5">
        <v>1</v>
      </c>
      <c r="C10" s="5">
        <v>0.84089641999999998</v>
      </c>
      <c r="D10" s="5">
        <v>1</v>
      </c>
      <c r="E10" s="5">
        <v>4.0558379200000001</v>
      </c>
      <c r="F10" s="5">
        <v>4.2870938499999998</v>
      </c>
      <c r="G10" s="5">
        <v>5.0280535000000004</v>
      </c>
      <c r="H10">
        <f>_xlfn.T.TEST(B10:D10,E10:G10,2,2)</f>
        <v>2.9724360069108171E-4</v>
      </c>
    </row>
    <row r="11" spans="1:10" x14ac:dyDescent="0.2">
      <c r="A11" s="8">
        <v>4</v>
      </c>
      <c r="B11" s="5">
        <v>32.899642499999999</v>
      </c>
      <c r="C11" s="5">
        <v>34.059845799999998</v>
      </c>
      <c r="D11" s="5">
        <v>30.273844700000001</v>
      </c>
      <c r="E11" s="5">
        <v>52.345731700000002</v>
      </c>
      <c r="F11" s="5">
        <v>51.625072600000003</v>
      </c>
      <c r="G11" s="5">
        <v>47.504754300000002</v>
      </c>
      <c r="H11">
        <f t="shared" ref="H11:H17" si="0">_xlfn.T.TEST(B11:D11,E11:G11,2,2)</f>
        <v>6.5126009778937975E-4</v>
      </c>
    </row>
    <row r="12" spans="1:10" x14ac:dyDescent="0.2">
      <c r="A12" s="8">
        <v>6</v>
      </c>
      <c r="B12" s="5">
        <v>55.330382800000002</v>
      </c>
      <c r="C12" s="5">
        <v>74.542949500000006</v>
      </c>
      <c r="D12" s="5">
        <v>60.968831899999998</v>
      </c>
      <c r="E12" s="5">
        <v>54.191699999999997</v>
      </c>
      <c r="F12" s="5">
        <v>53.817370599999997</v>
      </c>
      <c r="G12" s="5">
        <v>56.885931599999999</v>
      </c>
      <c r="H12">
        <f t="shared" si="0"/>
        <v>0.20908760305484808</v>
      </c>
    </row>
    <row r="13" spans="1:10" x14ac:dyDescent="0.2">
      <c r="A13" s="8">
        <v>8</v>
      </c>
      <c r="B13" s="5">
        <v>76.638637099999997</v>
      </c>
      <c r="C13" s="5">
        <v>75.583530300000007</v>
      </c>
      <c r="D13" s="5">
        <v>75.061436799999996</v>
      </c>
      <c r="E13" s="5">
        <v>106.152902</v>
      </c>
      <c r="F13" s="5">
        <v>109.137266</v>
      </c>
      <c r="G13" s="5">
        <v>102.53694400000001</v>
      </c>
      <c r="H13">
        <f t="shared" si="0"/>
        <v>1.045831334206535E-4</v>
      </c>
    </row>
    <row r="14" spans="1:10" x14ac:dyDescent="0.2">
      <c r="A14" s="8">
        <v>10</v>
      </c>
      <c r="B14" s="5">
        <v>78.793242500000005</v>
      </c>
      <c r="C14" s="5">
        <v>81.571880100000001</v>
      </c>
      <c r="D14" s="5">
        <v>78.248977800000006</v>
      </c>
      <c r="E14" s="5">
        <v>107.63474100000001</v>
      </c>
      <c r="F14" s="5">
        <v>103.968307</v>
      </c>
      <c r="G14" s="5">
        <v>109.896376</v>
      </c>
      <c r="H14">
        <f t="shared" si="0"/>
        <v>1.6246862476776162E-4</v>
      </c>
    </row>
    <row r="15" spans="1:10" x14ac:dyDescent="0.2">
      <c r="A15" s="8">
        <v>12</v>
      </c>
      <c r="B15" s="5">
        <v>242.19075799999999</v>
      </c>
      <c r="C15" s="5">
        <v>229.126418</v>
      </c>
      <c r="D15" s="5">
        <v>248.99966699999999</v>
      </c>
      <c r="E15" s="5">
        <v>380.03803399999998</v>
      </c>
      <c r="F15" s="5">
        <v>380.03803399999998</v>
      </c>
      <c r="G15" s="5">
        <v>362.03867200000002</v>
      </c>
      <c r="H15">
        <f t="shared" si="0"/>
        <v>8.9031758157012074E-5</v>
      </c>
    </row>
    <row r="16" spans="1:10" x14ac:dyDescent="0.2">
      <c r="A16" s="8">
        <v>14</v>
      </c>
      <c r="B16" s="5">
        <v>837.53170799999998</v>
      </c>
      <c r="C16" s="5">
        <v>786.88009299999999</v>
      </c>
      <c r="D16" s="5">
        <v>849.22321499999998</v>
      </c>
      <c r="E16" s="5">
        <v>719.07577600000002</v>
      </c>
      <c r="F16" s="5">
        <v>797.86452999999995</v>
      </c>
      <c r="G16" s="5">
        <v>744.43392900000003</v>
      </c>
      <c r="H16">
        <f t="shared" si="0"/>
        <v>7.8377732296504313E-2</v>
      </c>
    </row>
    <row r="17" spans="1:12" x14ac:dyDescent="0.2">
      <c r="A17" s="8">
        <v>16</v>
      </c>
      <c r="B17" s="5">
        <v>77.708472599999993</v>
      </c>
      <c r="C17" s="5">
        <v>86.222948900000006</v>
      </c>
      <c r="D17" s="5">
        <v>85.035892099999998</v>
      </c>
      <c r="E17" s="5">
        <v>73.516694700000002</v>
      </c>
      <c r="F17" s="5">
        <v>76.109255399999995</v>
      </c>
      <c r="G17" s="5">
        <v>75.061436799999996</v>
      </c>
      <c r="H17">
        <f t="shared" si="0"/>
        <v>4.3025490268103476E-2</v>
      </c>
    </row>
    <row r="20" spans="1:12" x14ac:dyDescent="0.2">
      <c r="A20" s="3" t="s">
        <v>409</v>
      </c>
      <c r="B20" s="4"/>
      <c r="C20" s="4"/>
      <c r="D20" s="4"/>
      <c r="E20" s="4"/>
      <c r="F20" s="4"/>
      <c r="G20" s="4"/>
      <c r="H20" s="4"/>
      <c r="I20" s="4"/>
      <c r="J20" s="4"/>
      <c r="K20" t="s">
        <v>396</v>
      </c>
      <c r="L20" t="s">
        <v>399</v>
      </c>
    </row>
    <row r="21" spans="1:12" x14ac:dyDescent="0.2">
      <c r="A21" s="4"/>
      <c r="B21" s="54" t="s">
        <v>22</v>
      </c>
      <c r="C21" s="54"/>
      <c r="D21" s="54"/>
      <c r="E21" s="54" t="s">
        <v>29</v>
      </c>
      <c r="F21" s="54"/>
      <c r="G21" s="54"/>
      <c r="H21" s="54" t="s">
        <v>30</v>
      </c>
      <c r="I21" s="54"/>
      <c r="J21" s="54"/>
      <c r="K21" t="s">
        <v>391</v>
      </c>
      <c r="L21" t="s">
        <v>391</v>
      </c>
    </row>
    <row r="22" spans="1:12" x14ac:dyDescent="0.2">
      <c r="A22" s="8">
        <v>2</v>
      </c>
      <c r="B22" s="7">
        <v>1</v>
      </c>
      <c r="C22" s="7">
        <v>1.2058078299999999</v>
      </c>
      <c r="D22" s="7">
        <v>1</v>
      </c>
      <c r="E22" s="7">
        <v>0.4665165</v>
      </c>
      <c r="F22" s="7">
        <v>0.90125045999999998</v>
      </c>
      <c r="G22" s="7">
        <v>0.53588672999999998</v>
      </c>
      <c r="H22" s="7">
        <v>2.5315131900000001</v>
      </c>
      <c r="I22" s="7">
        <v>1.8276629</v>
      </c>
      <c r="J22" s="7">
        <v>2.4794154000000002</v>
      </c>
      <c r="K22">
        <f>_xlfn.T.TEST(B22:D22,E22:G22,2,2)</f>
        <v>4.5516621890622326E-2</v>
      </c>
      <c r="L22">
        <f>_xlfn.T.TEST(B22:D22,H22:J22,2,2)</f>
        <v>6.8953076550043353E-3</v>
      </c>
    </row>
    <row r="23" spans="1:12" x14ac:dyDescent="0.2">
      <c r="A23" s="8">
        <v>4</v>
      </c>
      <c r="B23" s="7">
        <v>7.2100036999999997</v>
      </c>
      <c r="C23" s="7">
        <v>8.1680970100000003</v>
      </c>
      <c r="D23" s="7">
        <v>8.0556444000000003</v>
      </c>
      <c r="E23" s="7">
        <v>2.1885873999999998</v>
      </c>
      <c r="F23" s="7">
        <v>3.7580909999999998</v>
      </c>
      <c r="G23" s="7">
        <v>2.8481003899999999</v>
      </c>
      <c r="H23" s="7">
        <v>3.3869812499999998</v>
      </c>
      <c r="I23" s="7">
        <v>3.2943640699999999</v>
      </c>
      <c r="J23" s="7">
        <v>3.8370564800000002</v>
      </c>
      <c r="K23">
        <f t="shared" ref="K23:K29" si="1">_xlfn.T.TEST(B23:D23,E23:G23,2,2)</f>
        <v>8.687378501672934E-4</v>
      </c>
      <c r="L23">
        <f t="shared" ref="L23:L29" si="2">_xlfn.T.TEST(B23:D23,H23:J23,2,2)</f>
        <v>2.3913802494373153E-4</v>
      </c>
    </row>
    <row r="24" spans="1:12" x14ac:dyDescent="0.2">
      <c r="A24" s="8">
        <v>6</v>
      </c>
      <c r="B24" s="7">
        <v>3.5801002799999999</v>
      </c>
      <c r="C24" s="7">
        <v>2.58470566</v>
      </c>
      <c r="D24" s="7">
        <v>3.6300766200000001</v>
      </c>
      <c r="E24" s="7">
        <v>8.1116758400000002</v>
      </c>
      <c r="F24" s="7">
        <v>8.2821193900000001</v>
      </c>
      <c r="G24" s="7">
        <v>7.5161819899999998</v>
      </c>
      <c r="H24" s="7">
        <v>3.5064228900000001</v>
      </c>
      <c r="I24" s="7">
        <v>3.7063522500000001</v>
      </c>
      <c r="J24" s="7">
        <v>4.4382778900000002</v>
      </c>
      <c r="K24">
        <f t="shared" si="1"/>
        <v>3.3565858333630099E-4</v>
      </c>
      <c r="L24">
        <f t="shared" si="2"/>
        <v>0.23489669135880564</v>
      </c>
    </row>
    <row r="25" spans="1:12" x14ac:dyDescent="0.2">
      <c r="A25" s="8">
        <v>8</v>
      </c>
      <c r="B25" s="7">
        <v>4.22807216</v>
      </c>
      <c r="C25" s="7">
        <v>5.6177795000000001</v>
      </c>
      <c r="D25" s="7">
        <v>6.4085590200000002</v>
      </c>
      <c r="E25" s="7">
        <v>9.0004678800000004</v>
      </c>
      <c r="F25" s="7">
        <v>13.3614067</v>
      </c>
      <c r="G25" s="7">
        <v>12.7285837</v>
      </c>
      <c r="H25" s="7">
        <v>7.1602005699999998</v>
      </c>
      <c r="I25" s="7">
        <v>7.7812395800000003</v>
      </c>
      <c r="J25" s="7">
        <v>8.8152409299999999</v>
      </c>
      <c r="K25">
        <f t="shared" si="1"/>
        <v>1.392755593783045E-2</v>
      </c>
      <c r="L25">
        <f t="shared" si="2"/>
        <v>3.5254481564815796E-2</v>
      </c>
    </row>
    <row r="26" spans="1:12" x14ac:dyDescent="0.2">
      <c r="A26" s="8">
        <v>10</v>
      </c>
      <c r="B26" s="7">
        <v>9.7135590799999996</v>
      </c>
      <c r="C26" s="7">
        <v>10.1260528</v>
      </c>
      <c r="D26" s="7">
        <v>11.551433599999999</v>
      </c>
      <c r="E26" s="7">
        <v>12.9062681</v>
      </c>
      <c r="F26" s="7">
        <v>12.041974</v>
      </c>
      <c r="G26" s="7">
        <v>13.832595700000001</v>
      </c>
      <c r="H26" s="7">
        <v>12.1257325</v>
      </c>
      <c r="I26" s="7">
        <v>11.958793999999999</v>
      </c>
      <c r="J26" s="7">
        <v>13.6421583</v>
      </c>
      <c r="K26">
        <f t="shared" si="1"/>
        <v>3.1613078355914093E-2</v>
      </c>
      <c r="L26">
        <f t="shared" si="2"/>
        <v>5.2230908057039171E-2</v>
      </c>
    </row>
    <row r="27" spans="1:12" x14ac:dyDescent="0.2">
      <c r="A27" s="8">
        <v>12</v>
      </c>
      <c r="B27" s="7">
        <v>24.933266499999998</v>
      </c>
      <c r="C27" s="7">
        <v>27.095849999999999</v>
      </c>
      <c r="D27" s="7">
        <v>24.4201473</v>
      </c>
      <c r="E27" s="7">
        <v>20.534814399999998</v>
      </c>
      <c r="F27" s="7">
        <v>19.973288799999999</v>
      </c>
      <c r="G27" s="7">
        <v>19.427118199999999</v>
      </c>
      <c r="H27" s="7">
        <v>17.387757799999999</v>
      </c>
      <c r="I27" s="7">
        <v>14.5203065</v>
      </c>
      <c r="J27" s="7">
        <v>18.252219499999999</v>
      </c>
      <c r="K27">
        <f t="shared" si="1"/>
        <v>3.3312529642949046E-3</v>
      </c>
      <c r="L27">
        <f t="shared" si="2"/>
        <v>3.2739380007841454E-3</v>
      </c>
    </row>
    <row r="28" spans="1:12" x14ac:dyDescent="0.2">
      <c r="A28" s="8">
        <v>14</v>
      </c>
      <c r="B28" s="7">
        <v>23.7523771</v>
      </c>
      <c r="C28" s="7">
        <v>25.281321999999999</v>
      </c>
      <c r="D28" s="7">
        <v>28.051383099999999</v>
      </c>
      <c r="E28" s="7">
        <v>18.765359199999999</v>
      </c>
      <c r="F28" s="7">
        <v>16.795466900000001</v>
      </c>
      <c r="G28" s="7">
        <v>18.1261422</v>
      </c>
      <c r="H28" s="7">
        <v>16.795466900000001</v>
      </c>
      <c r="I28" s="7">
        <v>15.348225899999999</v>
      </c>
      <c r="J28" s="7">
        <v>15.348225899999999</v>
      </c>
      <c r="K28">
        <f t="shared" si="1"/>
        <v>4.8984865939539941E-3</v>
      </c>
      <c r="L28">
        <f t="shared" si="2"/>
        <v>1.8524469285345296E-3</v>
      </c>
    </row>
    <row r="29" spans="1:12" x14ac:dyDescent="0.2">
      <c r="A29" s="8">
        <v>16</v>
      </c>
      <c r="B29" s="7">
        <v>18.1261422</v>
      </c>
      <c r="C29" s="7">
        <v>25.106691099999999</v>
      </c>
      <c r="D29" s="7">
        <v>20.534814399999998</v>
      </c>
      <c r="E29" s="7">
        <v>17.267651799999999</v>
      </c>
      <c r="F29" s="7">
        <v>21.406840899999999</v>
      </c>
      <c r="G29" s="7">
        <v>22.315898700000002</v>
      </c>
      <c r="H29" s="7">
        <v>14.5203065</v>
      </c>
      <c r="I29" s="7">
        <v>12.2950015</v>
      </c>
      <c r="J29" s="7">
        <v>12.4666333</v>
      </c>
      <c r="K29">
        <f t="shared" si="1"/>
        <v>0.7368886344048462</v>
      </c>
      <c r="L29">
        <f t="shared" si="2"/>
        <v>1.970448054558992E-2</v>
      </c>
    </row>
    <row r="32" spans="1:12" x14ac:dyDescent="0.2">
      <c r="A32" s="3" t="s">
        <v>408</v>
      </c>
      <c r="B32" s="4"/>
      <c r="C32" s="4"/>
      <c r="D32" s="4"/>
      <c r="E32" s="4"/>
      <c r="F32" s="4"/>
      <c r="G32" s="4"/>
      <c r="H32" s="4"/>
      <c r="I32" s="4"/>
      <c r="J32" s="4"/>
      <c r="K32" t="s">
        <v>394</v>
      </c>
      <c r="L32" t="s">
        <v>406</v>
      </c>
    </row>
    <row r="33" spans="1:12" x14ac:dyDescent="0.2">
      <c r="A33" s="4"/>
      <c r="B33" s="54" t="s">
        <v>25</v>
      </c>
      <c r="C33" s="54"/>
      <c r="D33" s="54"/>
      <c r="E33" s="54" t="s">
        <v>26</v>
      </c>
      <c r="F33" s="54"/>
      <c r="G33" s="54"/>
      <c r="H33" s="54" t="s">
        <v>27</v>
      </c>
      <c r="I33" s="54"/>
      <c r="J33" s="54"/>
      <c r="K33" t="s">
        <v>391</v>
      </c>
      <c r="L33" t="s">
        <v>391</v>
      </c>
    </row>
    <row r="34" spans="1:12" x14ac:dyDescent="0.2">
      <c r="A34" s="8">
        <v>2</v>
      </c>
      <c r="B34" s="7">
        <v>1</v>
      </c>
      <c r="C34" s="7">
        <v>0.68302012999999995</v>
      </c>
      <c r="D34" s="7">
        <v>1</v>
      </c>
      <c r="E34" s="7">
        <v>2.60268371</v>
      </c>
      <c r="F34" s="7">
        <v>1.13288389</v>
      </c>
      <c r="G34" s="7">
        <v>1.2834258999999999</v>
      </c>
      <c r="H34" s="7">
        <v>2.5668517999999998</v>
      </c>
      <c r="I34" s="7">
        <v>1.4439291999999999</v>
      </c>
      <c r="J34" s="7">
        <v>1.905276</v>
      </c>
      <c r="K34">
        <f>_xlfn.T.TEST(B34:D34,E34:G34,2,2)</f>
        <v>0.17913164698835632</v>
      </c>
      <c r="L34">
        <f>_xlfn.T.TEST(B34:D34,H34:J34,2,2)</f>
        <v>3.4652930373520595E-2</v>
      </c>
    </row>
    <row r="35" spans="1:12" x14ac:dyDescent="0.2">
      <c r="A35" s="8">
        <v>4</v>
      </c>
      <c r="B35" s="7">
        <v>6.9162978500000003</v>
      </c>
      <c r="C35" s="7">
        <v>7.9447399599999997</v>
      </c>
      <c r="D35" s="7">
        <v>6.4980191700000001</v>
      </c>
      <c r="E35" s="7">
        <v>2.58470566</v>
      </c>
      <c r="F35" s="7">
        <v>2.5140267500000002</v>
      </c>
      <c r="G35" s="7">
        <v>2.8481003899999999</v>
      </c>
      <c r="H35" s="7">
        <v>1.2834258999999999</v>
      </c>
      <c r="I35" s="7">
        <v>2.5140267500000002</v>
      </c>
      <c r="J35" s="7">
        <v>1.8790454999999999</v>
      </c>
      <c r="K35">
        <f t="shared" ref="K35:K41" si="3">_xlfn.T.TEST(B35:D35,E35:G35,2,2)</f>
        <v>5.3624213377311664E-4</v>
      </c>
      <c r="L35">
        <f t="shared" ref="L35:L41" si="4">_xlfn.T.TEST(B35:D35,H35:J35,2,2)</f>
        <v>7.2149932714457522E-4</v>
      </c>
    </row>
    <row r="36" spans="1:12" x14ac:dyDescent="0.2">
      <c r="A36" s="8">
        <v>6</v>
      </c>
      <c r="B36" s="7">
        <v>8.2821193900000001</v>
      </c>
      <c r="C36" s="7">
        <v>9.3826795900000004</v>
      </c>
      <c r="D36" s="7">
        <v>8.8765557800000003</v>
      </c>
      <c r="E36" s="7">
        <v>8.4561443199999999</v>
      </c>
      <c r="F36" s="7">
        <v>7.9447399599999997</v>
      </c>
      <c r="G36" s="7">
        <v>7.6741129499999996</v>
      </c>
      <c r="H36" s="7">
        <v>7.4127045000000003</v>
      </c>
      <c r="I36" s="7">
        <v>9.5136569200000007</v>
      </c>
      <c r="J36" s="7">
        <v>8.1116758400000002</v>
      </c>
      <c r="K36">
        <f t="shared" si="3"/>
        <v>0.10402734459349096</v>
      </c>
      <c r="L36">
        <f t="shared" si="4"/>
        <v>0.51066207177001144</v>
      </c>
    </row>
    <row r="37" spans="1:12" x14ac:dyDescent="0.2">
      <c r="A37" s="8">
        <v>8</v>
      </c>
      <c r="B37" s="7">
        <v>13.737047</v>
      </c>
      <c r="C37" s="7">
        <v>14.928527900000001</v>
      </c>
      <c r="D37" s="7">
        <v>13.928808999999999</v>
      </c>
      <c r="E37" s="7">
        <v>12.210073700000001</v>
      </c>
      <c r="F37" s="7">
        <v>14.3204011</v>
      </c>
      <c r="G37" s="7">
        <v>15.242208</v>
      </c>
      <c r="H37" s="7">
        <v>10.483147199999999</v>
      </c>
      <c r="I37" s="7">
        <v>14.123247900000001</v>
      </c>
      <c r="J37" s="7">
        <v>12.7285837</v>
      </c>
      <c r="K37">
        <f t="shared" si="3"/>
        <v>0.79176639680420047</v>
      </c>
      <c r="L37">
        <f t="shared" si="4"/>
        <v>0.19346365867081936</v>
      </c>
    </row>
    <row r="38" spans="1:12" x14ac:dyDescent="0.2">
      <c r="A38" s="8">
        <v>10</v>
      </c>
      <c r="B38" s="7">
        <v>16.449821199999999</v>
      </c>
      <c r="C38" s="7">
        <v>17.029922899999999</v>
      </c>
      <c r="D38" s="7">
        <v>16.6794522</v>
      </c>
      <c r="E38" s="7">
        <v>24.083947999999999</v>
      </c>
      <c r="F38" s="7">
        <v>22.627417000000001</v>
      </c>
      <c r="G38" s="7">
        <v>24.933266499999998</v>
      </c>
      <c r="H38" s="7">
        <v>16.795466900000001</v>
      </c>
      <c r="I38" s="7">
        <v>14.2214829</v>
      </c>
      <c r="J38" s="7">
        <v>15.1369223</v>
      </c>
      <c r="K38">
        <f t="shared" si="3"/>
        <v>4.977607568720006E-4</v>
      </c>
      <c r="L38">
        <f t="shared" si="4"/>
        <v>0.15876967983621029</v>
      </c>
    </row>
    <row r="39" spans="1:12" x14ac:dyDescent="0.2">
      <c r="A39" s="8">
        <v>12</v>
      </c>
      <c r="B39" s="7">
        <v>22.627417000000001</v>
      </c>
      <c r="C39" s="7">
        <v>25.457167500000001</v>
      </c>
      <c r="D39" s="7">
        <v>23.7523771</v>
      </c>
      <c r="E39" s="7">
        <v>28.840014799999999</v>
      </c>
      <c r="F39" s="7">
        <v>22.161751500000001</v>
      </c>
      <c r="G39" s="7">
        <v>25.812536300000001</v>
      </c>
      <c r="H39" s="7">
        <v>15.348225899999999</v>
      </c>
      <c r="I39" s="7">
        <v>18.1261422</v>
      </c>
      <c r="J39" s="7">
        <v>18.000935800000001</v>
      </c>
      <c r="K39">
        <f t="shared" si="3"/>
        <v>0.47341653002696377</v>
      </c>
      <c r="L39">
        <f t="shared" si="4"/>
        <v>5.1668301460590935E-3</v>
      </c>
    </row>
    <row r="40" spans="1:12" x14ac:dyDescent="0.2">
      <c r="A40" s="8">
        <v>14</v>
      </c>
      <c r="B40" s="7">
        <v>21.555737199999999</v>
      </c>
      <c r="C40" s="7">
        <v>19.562244400000001</v>
      </c>
      <c r="D40" s="7">
        <v>18.252219499999999</v>
      </c>
      <c r="E40" s="7">
        <v>18.8958826</v>
      </c>
      <c r="F40" s="7">
        <v>15.4549813</v>
      </c>
      <c r="G40" s="7">
        <v>15.5624792</v>
      </c>
      <c r="H40" s="7">
        <v>16.6794522</v>
      </c>
      <c r="I40" s="7">
        <v>15.6707248</v>
      </c>
      <c r="J40" s="7">
        <v>16.795466900000001</v>
      </c>
      <c r="K40">
        <f t="shared" si="3"/>
        <v>0.10064011150869541</v>
      </c>
      <c r="L40">
        <f t="shared" si="4"/>
        <v>2.9211781487027896E-2</v>
      </c>
    </row>
    <row r="41" spans="1:12" x14ac:dyDescent="0.2">
      <c r="A41" s="8">
        <v>16</v>
      </c>
      <c r="B41" s="7">
        <v>19.973288799999999</v>
      </c>
      <c r="C41" s="7">
        <v>16.336193999999999</v>
      </c>
      <c r="D41" s="7">
        <v>16.111288800000001</v>
      </c>
      <c r="E41" s="7">
        <v>14.3204011</v>
      </c>
      <c r="F41" s="7">
        <v>15.4549813</v>
      </c>
      <c r="G41" s="7">
        <v>15.4549813</v>
      </c>
      <c r="H41" s="7">
        <v>9.8491553100000004</v>
      </c>
      <c r="I41" s="7">
        <v>9.2535054700000003</v>
      </c>
      <c r="J41" s="7">
        <v>11.958793999999999</v>
      </c>
      <c r="K41">
        <f t="shared" si="3"/>
        <v>0.14070086177074495</v>
      </c>
      <c r="L41">
        <f t="shared" si="4"/>
        <v>8.9234485623059349E-3</v>
      </c>
    </row>
  </sheetData>
  <mergeCells count="8">
    <mergeCell ref="B33:D33"/>
    <mergeCell ref="E33:G33"/>
    <mergeCell ref="H33:J33"/>
    <mergeCell ref="B9:D9"/>
    <mergeCell ref="E9:G9"/>
    <mergeCell ref="B21:D21"/>
    <mergeCell ref="E21:G21"/>
    <mergeCell ref="H21:J2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6"/>
  <sheetViews>
    <sheetView topLeftCell="D16" workbookViewId="0">
      <selection activeCell="K36" sqref="K36"/>
    </sheetView>
  </sheetViews>
  <sheetFormatPr baseColWidth="10" defaultColWidth="8.83203125" defaultRowHeight="15" x14ac:dyDescent="0.2"/>
  <sheetData>
    <row r="1" spans="1:26" x14ac:dyDescent="0.2">
      <c r="A1" s="3" t="s">
        <v>410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t="s">
        <v>396</v>
      </c>
      <c r="O1" t="s">
        <v>399</v>
      </c>
    </row>
    <row r="2" spans="1:26" x14ac:dyDescent="0.2">
      <c r="A2" s="11"/>
      <c r="B2" s="53" t="s">
        <v>22</v>
      </c>
      <c r="C2" s="53"/>
      <c r="D2" s="53"/>
      <c r="E2" s="53"/>
      <c r="F2" s="53" t="s">
        <v>29</v>
      </c>
      <c r="G2" s="53"/>
      <c r="H2" s="53"/>
      <c r="I2" s="53"/>
      <c r="J2" s="53" t="s">
        <v>30</v>
      </c>
      <c r="K2" s="53"/>
      <c r="L2" s="53"/>
      <c r="M2" s="53"/>
      <c r="N2" t="s">
        <v>391</v>
      </c>
      <c r="O2" t="s">
        <v>391</v>
      </c>
    </row>
    <row r="3" spans="1:26" x14ac:dyDescent="0.2">
      <c r="A3" s="8" t="s">
        <v>25</v>
      </c>
      <c r="B3" s="5">
        <v>98.51446</v>
      </c>
      <c r="C3" s="5">
        <v>96.012510000000006</v>
      </c>
      <c r="D3" s="5">
        <v>103.1014</v>
      </c>
      <c r="E3" s="5">
        <v>102.3716</v>
      </c>
      <c r="F3" s="5">
        <v>96.653540000000007</v>
      </c>
      <c r="G3" s="5">
        <v>100.78740000000001</v>
      </c>
      <c r="H3" s="5">
        <v>100</v>
      </c>
      <c r="I3" s="5">
        <v>102.5591</v>
      </c>
      <c r="J3" s="5">
        <v>100</v>
      </c>
      <c r="K3" s="5">
        <v>101.13120000000001</v>
      </c>
      <c r="L3" s="5">
        <v>99.773759999999996</v>
      </c>
      <c r="M3" s="5">
        <v>99.095020000000005</v>
      </c>
      <c r="N3">
        <f>_xlfn.T.TEST(B3:E3,F3:I3,2,2)</f>
        <v>0.99999354741637769</v>
      </c>
      <c r="O3">
        <f>_xlfn.T.TEST(B3:E3,J3:M3,2,2)</f>
        <v>0.99999888731309672</v>
      </c>
    </row>
    <row r="4" spans="1:26" x14ac:dyDescent="0.2">
      <c r="A4" s="8" t="s">
        <v>32</v>
      </c>
      <c r="B4" s="5">
        <v>80.375290000000007</v>
      </c>
      <c r="C4" s="5">
        <v>79.332809999999995</v>
      </c>
      <c r="D4" s="5">
        <v>83.398489999999995</v>
      </c>
      <c r="E4" s="5">
        <v>81.939009999999996</v>
      </c>
      <c r="F4" s="5">
        <v>49.311019999999999</v>
      </c>
      <c r="G4" s="5">
        <v>49.704720000000002</v>
      </c>
      <c r="H4" s="5">
        <v>47.047240000000002</v>
      </c>
      <c r="I4" s="5">
        <v>48.917319999999997</v>
      </c>
      <c r="J4" s="5">
        <v>23.9819</v>
      </c>
      <c r="K4" s="5">
        <v>24.547509999999999</v>
      </c>
      <c r="L4" s="5">
        <v>23.868780000000001</v>
      </c>
      <c r="M4" s="5">
        <v>24.773759999999999</v>
      </c>
      <c r="N4">
        <f t="shared" ref="N4:N6" si="0">_xlfn.T.TEST(B4:E4,F4:I4,2,2)</f>
        <v>8.3268783077336818E-8</v>
      </c>
      <c r="O4">
        <f t="shared" ref="O4:O6" si="1">_xlfn.T.TEST(B4:E4,J4:M4,2,2)</f>
        <v>1.1738481347885864E-9</v>
      </c>
    </row>
    <row r="5" spans="1:26" x14ac:dyDescent="0.2">
      <c r="A5" s="8" t="s">
        <v>38</v>
      </c>
      <c r="B5" s="5">
        <v>103.6609</v>
      </c>
      <c r="C5" s="5">
        <v>100.3211</v>
      </c>
      <c r="D5" s="5">
        <v>99.036609999999996</v>
      </c>
      <c r="E5" s="5">
        <v>97.238280000000003</v>
      </c>
      <c r="F5" s="5">
        <v>98.180700000000002</v>
      </c>
      <c r="G5" s="5">
        <v>102.49769999999999</v>
      </c>
      <c r="H5" s="5">
        <v>103.36109999999999</v>
      </c>
      <c r="I5" s="5">
        <v>101.38760000000001</v>
      </c>
      <c r="J5" s="5">
        <v>98.658820000000006</v>
      </c>
      <c r="K5" s="5">
        <v>97.350340000000003</v>
      </c>
      <c r="L5" s="5">
        <v>98.266270000000006</v>
      </c>
      <c r="M5" s="5">
        <v>99.051360000000003</v>
      </c>
      <c r="N5">
        <f t="shared" si="0"/>
        <v>0.49195666372020086</v>
      </c>
      <c r="O5">
        <f t="shared" si="1"/>
        <v>0.26317951313928656</v>
      </c>
    </row>
    <row r="6" spans="1:26" x14ac:dyDescent="0.2">
      <c r="A6" s="8" t="s">
        <v>39</v>
      </c>
      <c r="B6" s="5">
        <v>110.72580000000001</v>
      </c>
      <c r="C6" s="5">
        <v>111.2396</v>
      </c>
      <c r="D6" s="5">
        <v>106.6153</v>
      </c>
      <c r="E6" s="5">
        <v>111.11109999999999</v>
      </c>
      <c r="F6" s="5">
        <v>113.3518</v>
      </c>
      <c r="G6" s="5">
        <v>114.7086</v>
      </c>
      <c r="H6" s="5">
        <v>110.2683</v>
      </c>
      <c r="I6" s="5">
        <v>102.0043</v>
      </c>
      <c r="J6" s="5">
        <v>111.08929999999999</v>
      </c>
      <c r="K6" s="5">
        <v>116.45399999999999</v>
      </c>
      <c r="L6" s="5">
        <v>100.6215</v>
      </c>
      <c r="M6" s="5">
        <v>98.527969999999996</v>
      </c>
      <c r="N6">
        <f t="shared" si="0"/>
        <v>0.95987705201229845</v>
      </c>
      <c r="O6">
        <f t="shared" si="1"/>
        <v>0.48852208960819876</v>
      </c>
    </row>
    <row r="12" spans="1:26" x14ac:dyDescent="0.2">
      <c r="A12" s="3" t="s">
        <v>411</v>
      </c>
      <c r="B12" s="4"/>
      <c r="C12" s="4"/>
      <c r="D12" s="4"/>
      <c r="E12" s="4"/>
      <c r="F12" s="4"/>
      <c r="G12" s="4"/>
      <c r="L12" s="3" t="s">
        <v>412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11"/>
      <c r="B13" s="53" t="s">
        <v>0</v>
      </c>
      <c r="C13" s="53"/>
      <c r="D13" s="53"/>
      <c r="E13" s="60" t="s">
        <v>1</v>
      </c>
      <c r="F13" s="60"/>
      <c r="G13" s="60"/>
      <c r="H13" t="s">
        <v>391</v>
      </c>
      <c r="L13" s="11" t="s">
        <v>32</v>
      </c>
      <c r="M13" s="53" t="s">
        <v>0</v>
      </c>
      <c r="N13" s="53"/>
      <c r="O13" s="53"/>
      <c r="P13" s="53" t="s">
        <v>1</v>
      </c>
      <c r="Q13" s="53"/>
      <c r="R13" s="53"/>
      <c r="S13" s="4"/>
      <c r="T13" s="11" t="s">
        <v>33</v>
      </c>
      <c r="U13" s="53" t="s">
        <v>0</v>
      </c>
      <c r="V13" s="53"/>
      <c r="W13" s="53"/>
      <c r="X13" s="53" t="s">
        <v>1</v>
      </c>
      <c r="Y13" s="53"/>
      <c r="Z13" s="53"/>
    </row>
    <row r="14" spans="1:26" x14ac:dyDescent="0.2">
      <c r="A14" s="8" t="s">
        <v>35</v>
      </c>
      <c r="B14" s="5">
        <v>105.68600000000001</v>
      </c>
      <c r="C14" s="5">
        <v>99.2346</v>
      </c>
      <c r="D14" s="5">
        <v>95.079279999999997</v>
      </c>
      <c r="E14" s="5">
        <v>99.514799999999994</v>
      </c>
      <c r="F14" s="5">
        <v>99.805899999999994</v>
      </c>
      <c r="G14" s="5">
        <v>100.6793</v>
      </c>
      <c r="H14">
        <f>_xlfn.T.TEST(B14:D14,E14:G14,2,2)</f>
        <v>0.99999033970235218</v>
      </c>
      <c r="L14" s="5">
        <v>0.1</v>
      </c>
      <c r="M14" s="5">
        <v>102.21299999999999</v>
      </c>
      <c r="N14" s="5">
        <v>100.1006</v>
      </c>
      <c r="O14" s="5">
        <v>97.686700000000002</v>
      </c>
      <c r="P14" s="5">
        <v>95.654899999999998</v>
      </c>
      <c r="Q14" s="5">
        <v>100.497</v>
      </c>
      <c r="R14" s="5">
        <v>103.8485</v>
      </c>
      <c r="S14" s="4"/>
      <c r="T14" s="5">
        <v>0.1</v>
      </c>
      <c r="U14" s="5">
        <v>103.3</v>
      </c>
      <c r="V14" s="5">
        <v>100.896</v>
      </c>
      <c r="W14" s="5">
        <v>95.804860000000005</v>
      </c>
      <c r="X14" s="5">
        <v>101.5142</v>
      </c>
      <c r="Y14" s="5">
        <v>98.738200000000006</v>
      </c>
      <c r="Z14" s="5">
        <v>99.747630000000001</v>
      </c>
    </row>
    <row r="15" spans="1:26" x14ac:dyDescent="0.2">
      <c r="A15" s="8" t="s">
        <v>33</v>
      </c>
      <c r="B15" s="5">
        <v>35.921300000000002</v>
      </c>
      <c r="C15" s="5">
        <v>33.515599999999999</v>
      </c>
      <c r="D15" s="5">
        <v>31.875340000000001</v>
      </c>
      <c r="E15" s="5">
        <v>92.916060000000002</v>
      </c>
      <c r="F15" s="5">
        <v>95.536100000000005</v>
      </c>
      <c r="G15" s="5">
        <v>94.565740000000005</v>
      </c>
      <c r="H15">
        <f t="shared" ref="H15:H20" si="2">_xlfn.T.TEST(B15:D15,E15:G15,2,2)</f>
        <v>1.7158052475661156E-6</v>
      </c>
      <c r="L15" s="5">
        <v>10</v>
      </c>
      <c r="M15" s="5">
        <v>95.876300000000001</v>
      </c>
      <c r="N15" s="5">
        <v>94.065880000000007</v>
      </c>
      <c r="O15" s="5">
        <v>95.725399999999993</v>
      </c>
      <c r="P15" s="5">
        <v>90.564899999999994</v>
      </c>
      <c r="Q15" s="5">
        <v>98.137799999999999</v>
      </c>
      <c r="R15" s="5">
        <v>103.4761</v>
      </c>
      <c r="S15" s="4"/>
      <c r="T15" s="5">
        <v>10</v>
      </c>
      <c r="U15" s="5">
        <v>99.057299999999998</v>
      </c>
      <c r="V15" s="5">
        <v>94.390799999999999</v>
      </c>
      <c r="W15" s="5">
        <v>90.148480000000006</v>
      </c>
      <c r="X15" s="5">
        <v>100.25239999999999</v>
      </c>
      <c r="Y15" s="5">
        <v>95.078900000000004</v>
      </c>
      <c r="Z15" s="5">
        <v>96.593059999999994</v>
      </c>
    </row>
    <row r="16" spans="1:26" x14ac:dyDescent="0.2">
      <c r="A16" s="8" t="s">
        <v>36</v>
      </c>
      <c r="B16" s="5">
        <v>106.56100000000001</v>
      </c>
      <c r="C16" s="5">
        <v>94.313800000000001</v>
      </c>
      <c r="D16" s="5">
        <v>89.065060000000003</v>
      </c>
      <c r="E16" s="5">
        <v>90.781170000000003</v>
      </c>
      <c r="F16" s="5">
        <v>93.983500000000006</v>
      </c>
      <c r="G16" s="5">
        <v>93.595339999999993</v>
      </c>
      <c r="H16">
        <f t="shared" si="2"/>
        <v>0.50533278122212733</v>
      </c>
      <c r="L16" s="5">
        <v>50</v>
      </c>
      <c r="M16" s="5">
        <v>91.652000000000001</v>
      </c>
      <c r="N16" s="5">
        <v>94.216750000000005</v>
      </c>
      <c r="O16" s="5">
        <v>92.557199999999995</v>
      </c>
      <c r="P16" s="5">
        <v>92.054599999999994</v>
      </c>
      <c r="Q16" s="5">
        <v>95.530699999999996</v>
      </c>
      <c r="R16" s="5">
        <v>103.2278</v>
      </c>
      <c r="S16" s="4"/>
      <c r="T16" s="5">
        <v>50</v>
      </c>
      <c r="U16" s="5">
        <v>98.915899999999993</v>
      </c>
      <c r="V16" s="5">
        <v>93.542299999999997</v>
      </c>
      <c r="W16" s="5">
        <v>88.875799999999998</v>
      </c>
      <c r="X16" s="5">
        <v>92.176659999999998</v>
      </c>
      <c r="Y16" s="5">
        <v>94.069400000000002</v>
      </c>
      <c r="Z16" s="5">
        <v>93.312299999999993</v>
      </c>
    </row>
    <row r="17" spans="1:27" x14ac:dyDescent="0.2">
      <c r="A17" s="8" t="s">
        <v>37</v>
      </c>
      <c r="B17" s="5">
        <v>102.078</v>
      </c>
      <c r="C17" s="5">
        <v>94.095100000000002</v>
      </c>
      <c r="D17" s="5">
        <v>90.705299999999994</v>
      </c>
      <c r="E17" s="5">
        <v>92.916060000000002</v>
      </c>
      <c r="F17" s="5">
        <v>91.363399999999999</v>
      </c>
      <c r="G17" s="5">
        <v>93.88646</v>
      </c>
      <c r="H17">
        <f t="shared" si="2"/>
        <v>0.44732082240595861</v>
      </c>
      <c r="L17" s="5">
        <v>100</v>
      </c>
      <c r="M17" s="5">
        <v>92.255499999999998</v>
      </c>
      <c r="N17" s="5">
        <v>86.975110000000001</v>
      </c>
      <c r="O17" s="5">
        <v>78.375699999999995</v>
      </c>
      <c r="P17" s="5">
        <v>88.454400000000007</v>
      </c>
      <c r="Q17" s="5">
        <v>92.675399999999996</v>
      </c>
      <c r="R17" s="5">
        <v>101.2415</v>
      </c>
      <c r="S17" s="4"/>
      <c r="T17" s="5">
        <v>100</v>
      </c>
      <c r="U17" s="5">
        <v>96.653300000000002</v>
      </c>
      <c r="V17" s="5">
        <v>87.037499999999994</v>
      </c>
      <c r="W17" s="5">
        <v>85.906199999999998</v>
      </c>
      <c r="X17" s="5">
        <v>94.574129999999997</v>
      </c>
      <c r="Y17" s="5">
        <v>95.583600000000004</v>
      </c>
      <c r="Z17" s="5">
        <v>98.359620000000007</v>
      </c>
    </row>
    <row r="18" spans="1:27" x14ac:dyDescent="0.2">
      <c r="A18" s="8" t="s">
        <v>32</v>
      </c>
      <c r="B18" s="5">
        <v>19.6282</v>
      </c>
      <c r="C18" s="5">
        <v>16.894500000000001</v>
      </c>
      <c r="D18" s="5">
        <v>14.379440000000001</v>
      </c>
      <c r="E18" s="5">
        <v>93.110140000000001</v>
      </c>
      <c r="F18" s="5">
        <v>94.371700000000004</v>
      </c>
      <c r="G18" s="5">
        <v>93.789420000000007</v>
      </c>
      <c r="H18">
        <f t="shared" si="2"/>
        <v>1.0161600508402394E-6</v>
      </c>
      <c r="L18" s="5">
        <v>200</v>
      </c>
      <c r="M18" s="5">
        <v>73.246200000000002</v>
      </c>
      <c r="N18" s="5">
        <v>73.547899999999998</v>
      </c>
      <c r="O18" s="5">
        <v>74.302199999999999</v>
      </c>
      <c r="P18" s="5">
        <v>89.944100000000006</v>
      </c>
      <c r="Q18" s="5">
        <v>92.551199999999994</v>
      </c>
      <c r="R18" s="5">
        <v>101.7381</v>
      </c>
      <c r="S18" s="4"/>
      <c r="T18" s="5">
        <v>200</v>
      </c>
      <c r="U18" s="5">
        <v>91.138300000000001</v>
      </c>
      <c r="V18" s="5">
        <v>84.774900000000002</v>
      </c>
      <c r="W18" s="5">
        <v>83.360830000000007</v>
      </c>
      <c r="X18" s="5">
        <v>92.933750000000003</v>
      </c>
      <c r="Y18" s="5">
        <v>92.302800000000005</v>
      </c>
      <c r="Z18" s="5">
        <v>92.933750000000003</v>
      </c>
    </row>
    <row r="19" spans="1:27" x14ac:dyDescent="0.2">
      <c r="A19" s="8" t="s">
        <v>38</v>
      </c>
      <c r="B19" s="5">
        <v>96.063400000000001</v>
      </c>
      <c r="C19" s="5">
        <v>86.221999999999994</v>
      </c>
      <c r="D19" s="5">
        <v>86.331329999999994</v>
      </c>
      <c r="E19" s="5">
        <v>96.118390000000005</v>
      </c>
      <c r="F19" s="5">
        <v>97.088800000000006</v>
      </c>
      <c r="G19" s="5">
        <v>97.282870000000003</v>
      </c>
      <c r="H19">
        <f t="shared" si="2"/>
        <v>9.0471865957322289E-2</v>
      </c>
      <c r="L19" s="5">
        <v>300</v>
      </c>
      <c r="M19" s="5">
        <v>25.270299999999999</v>
      </c>
      <c r="N19" s="5">
        <v>27.231580000000001</v>
      </c>
      <c r="O19" s="5">
        <v>25.270299999999999</v>
      </c>
      <c r="P19" s="5">
        <v>87.833600000000004</v>
      </c>
      <c r="Q19" s="5">
        <v>91.682199999999995</v>
      </c>
      <c r="R19" s="5">
        <v>98.882679999999993</v>
      </c>
      <c r="S19" s="4"/>
      <c r="T19" s="5">
        <v>300</v>
      </c>
      <c r="U19" s="5">
        <v>82.936599999999999</v>
      </c>
      <c r="V19" s="5">
        <v>78.411500000000004</v>
      </c>
      <c r="W19" s="5">
        <v>75.300489999999996</v>
      </c>
      <c r="X19" s="5">
        <v>90.031549999999996</v>
      </c>
      <c r="Y19" s="5">
        <v>91.167199999999994</v>
      </c>
      <c r="Z19" s="5">
        <v>90.410089999999997</v>
      </c>
    </row>
    <row r="20" spans="1:27" x14ac:dyDescent="0.2">
      <c r="A20" s="8" t="s">
        <v>39</v>
      </c>
      <c r="B20" s="5">
        <v>102.952</v>
      </c>
      <c r="C20" s="5">
        <v>100.98399999999999</v>
      </c>
      <c r="D20" s="5">
        <v>93.876440000000002</v>
      </c>
      <c r="E20" s="5">
        <v>105.3372</v>
      </c>
      <c r="F20" s="5">
        <v>106.405</v>
      </c>
      <c r="G20" s="5">
        <v>107.9573</v>
      </c>
      <c r="H20">
        <f t="shared" si="2"/>
        <v>6.3206467325493426E-2</v>
      </c>
      <c r="L20" s="5">
        <v>500</v>
      </c>
      <c r="M20" s="5">
        <v>18.933900000000001</v>
      </c>
      <c r="N20" s="5">
        <v>18.028659999999999</v>
      </c>
      <c r="O20" s="5">
        <v>18.330400000000001</v>
      </c>
      <c r="P20" s="5">
        <v>93.296099999999996</v>
      </c>
      <c r="Q20" s="5">
        <v>93.544399999999996</v>
      </c>
      <c r="R20" s="5">
        <v>97.268780000000007</v>
      </c>
      <c r="S20" s="4"/>
      <c r="T20" s="5">
        <v>500</v>
      </c>
      <c r="U20" s="5">
        <v>63.846299999999999</v>
      </c>
      <c r="V20" s="5">
        <v>64.553399999999996</v>
      </c>
      <c r="W20" s="5">
        <v>65.54325</v>
      </c>
      <c r="X20" s="5">
        <v>88.738169999999997</v>
      </c>
      <c r="Y20" s="5">
        <v>87.224000000000004</v>
      </c>
      <c r="Z20" s="5">
        <v>97.981070000000003</v>
      </c>
    </row>
    <row r="24" spans="1:27" x14ac:dyDescent="0.2">
      <c r="A24" s="3" t="s">
        <v>413</v>
      </c>
      <c r="B24" s="4"/>
      <c r="C24" s="4"/>
      <c r="D24" s="4"/>
      <c r="E24" s="4"/>
      <c r="F24" s="4"/>
      <c r="G24" s="4"/>
      <c r="H24" s="4"/>
      <c r="I24" s="4"/>
      <c r="J24" s="4"/>
      <c r="K24" t="s">
        <v>394</v>
      </c>
      <c r="L24" t="s">
        <v>406</v>
      </c>
    </row>
    <row r="25" spans="1:27" x14ac:dyDescent="0.2">
      <c r="A25" s="11"/>
      <c r="B25" s="53" t="s">
        <v>25</v>
      </c>
      <c r="C25" s="53"/>
      <c r="D25" s="53"/>
      <c r="E25" s="53" t="s">
        <v>26</v>
      </c>
      <c r="F25" s="53"/>
      <c r="G25" s="53"/>
      <c r="H25" s="53" t="s">
        <v>27</v>
      </c>
      <c r="I25" s="53"/>
      <c r="J25" s="53"/>
      <c r="K25" t="s">
        <v>391</v>
      </c>
      <c r="L25" t="s">
        <v>391</v>
      </c>
    </row>
    <row r="26" spans="1:27" x14ac:dyDescent="0.2">
      <c r="A26" s="8" t="s">
        <v>7</v>
      </c>
      <c r="B26" s="5">
        <v>5.7</v>
      </c>
      <c r="C26" s="5">
        <v>7</v>
      </c>
      <c r="D26" s="5">
        <v>6.6</v>
      </c>
      <c r="E26" s="5">
        <v>5.7</v>
      </c>
      <c r="F26" s="5">
        <v>5.8</v>
      </c>
      <c r="G26" s="5">
        <v>6.3</v>
      </c>
      <c r="H26" s="5">
        <v>6.4</v>
      </c>
      <c r="I26" s="5">
        <v>6.6</v>
      </c>
      <c r="J26" s="5">
        <v>8.6</v>
      </c>
      <c r="K26">
        <f>_xlfn.T.TEST(B26:D26,E26:G26,2,2)</f>
        <v>0.30648845171412076</v>
      </c>
      <c r="L26">
        <f>_xlfn.T.TEST(B26:D26,H26:J26,2,2)</f>
        <v>0.39253597962128367</v>
      </c>
    </row>
    <row r="27" spans="1:27" x14ac:dyDescent="0.2">
      <c r="A27" s="8" t="s">
        <v>33</v>
      </c>
      <c r="B27" s="5">
        <v>24</v>
      </c>
      <c r="C27" s="5">
        <v>26.1</v>
      </c>
      <c r="D27" s="5">
        <v>23</v>
      </c>
      <c r="E27" s="5">
        <v>44.4</v>
      </c>
      <c r="F27" s="5">
        <v>45</v>
      </c>
      <c r="G27" s="5">
        <v>43</v>
      </c>
      <c r="H27" s="5">
        <v>49.2</v>
      </c>
      <c r="I27" s="5">
        <v>46</v>
      </c>
      <c r="J27" s="5">
        <v>48.8</v>
      </c>
      <c r="K27">
        <f t="shared" ref="K27:K28" si="3">_xlfn.T.TEST(B27:D27,E27:G27,2,2)</f>
        <v>5.4141075362647189E-5</v>
      </c>
      <c r="L27">
        <f t="shared" ref="L27:L28" si="4">_xlfn.T.TEST(B27:D27,H27:J27,2,2)</f>
        <v>6.4244007712396873E-5</v>
      </c>
    </row>
    <row r="28" spans="1:27" x14ac:dyDescent="0.2">
      <c r="A28" s="8" t="s">
        <v>32</v>
      </c>
      <c r="B28" s="5">
        <v>36.4</v>
      </c>
      <c r="C28" s="5">
        <v>33.700000000000003</v>
      </c>
      <c r="D28" s="5">
        <v>34.299999999999997</v>
      </c>
      <c r="E28" s="5">
        <v>51.8</v>
      </c>
      <c r="F28" s="5">
        <v>52.6</v>
      </c>
      <c r="G28" s="5">
        <v>58</v>
      </c>
      <c r="H28" s="5">
        <v>61.3</v>
      </c>
      <c r="I28" s="5">
        <v>58.6</v>
      </c>
      <c r="J28" s="5">
        <v>56.1</v>
      </c>
      <c r="K28">
        <f t="shared" si="3"/>
        <v>7.9071703410907215E-4</v>
      </c>
      <c r="L28">
        <f t="shared" si="4"/>
        <v>1.5288000155701169E-4</v>
      </c>
    </row>
    <row r="32" spans="1:27" x14ac:dyDescent="0.2">
      <c r="A32" s="3" t="s">
        <v>414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O32" s="3" t="s">
        <v>415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8" x14ac:dyDescent="0.2">
      <c r="A33" s="11"/>
      <c r="B33" s="53" t="s">
        <v>49</v>
      </c>
      <c r="C33" s="53"/>
      <c r="D33" s="53"/>
      <c r="E33" s="53" t="s">
        <v>50</v>
      </c>
      <c r="F33" s="53"/>
      <c r="G33" s="53"/>
      <c r="H33" s="53" t="s">
        <v>51</v>
      </c>
      <c r="I33" s="53"/>
      <c r="J33" s="53"/>
      <c r="K33" s="53" t="s">
        <v>52</v>
      </c>
      <c r="L33" s="53"/>
      <c r="M33" s="53"/>
      <c r="O33" s="4"/>
      <c r="P33" s="53" t="s">
        <v>49</v>
      </c>
      <c r="Q33" s="53"/>
      <c r="R33" s="53"/>
      <c r="S33" s="53" t="s">
        <v>50</v>
      </c>
      <c r="T33" s="53"/>
      <c r="U33" s="53"/>
      <c r="V33" s="53" t="s">
        <v>54</v>
      </c>
      <c r="W33" s="53"/>
      <c r="X33" s="53"/>
      <c r="Y33" s="53" t="s">
        <v>55</v>
      </c>
      <c r="Z33" s="53"/>
      <c r="AA33" s="53"/>
    </row>
    <row r="34" spans="1:28" x14ac:dyDescent="0.2">
      <c r="A34" s="8" t="s">
        <v>25</v>
      </c>
      <c r="B34" s="5">
        <v>101.9585</v>
      </c>
      <c r="C34" s="5">
        <v>100.5341</v>
      </c>
      <c r="D34" s="5">
        <v>97.507419999999996</v>
      </c>
      <c r="E34" s="5">
        <v>100.9346</v>
      </c>
      <c r="F34" s="5">
        <v>98.773359999999997</v>
      </c>
      <c r="G34" s="5">
        <v>100.2921</v>
      </c>
      <c r="H34" s="5">
        <v>99.494950000000003</v>
      </c>
      <c r="I34" s="5">
        <v>103.367</v>
      </c>
      <c r="J34" s="5">
        <v>97.138050000000007</v>
      </c>
      <c r="K34" s="5">
        <v>97.966099999999997</v>
      </c>
      <c r="L34" s="5">
        <v>99.152540000000002</v>
      </c>
      <c r="M34" s="5">
        <v>102.8814</v>
      </c>
      <c r="O34" s="8" t="s">
        <v>25</v>
      </c>
      <c r="P34" s="5">
        <v>101.8359</v>
      </c>
      <c r="Q34" s="5">
        <v>97.016639999999995</v>
      </c>
      <c r="R34" s="5">
        <v>101.1474</v>
      </c>
      <c r="S34" s="5">
        <v>96.756559999999993</v>
      </c>
      <c r="T34" s="5">
        <v>103.0977</v>
      </c>
      <c r="U34" s="5">
        <v>100.14579999999999</v>
      </c>
      <c r="V34" s="5">
        <v>98.638369999999995</v>
      </c>
      <c r="W34" s="5">
        <v>102.4229</v>
      </c>
      <c r="X34" s="5">
        <v>98.938730000000007</v>
      </c>
      <c r="Y34" s="5">
        <v>100.1947</v>
      </c>
      <c r="Z34" s="5">
        <v>99.345129999999997</v>
      </c>
      <c r="AA34" s="5">
        <v>100.4602</v>
      </c>
    </row>
    <row r="35" spans="1:28" x14ac:dyDescent="0.2">
      <c r="A35" s="8" t="s">
        <v>32</v>
      </c>
      <c r="B35" s="5">
        <v>88.189909999999998</v>
      </c>
      <c r="C35" s="5">
        <v>84.688429999999997</v>
      </c>
      <c r="D35" s="5">
        <v>84.451040000000006</v>
      </c>
      <c r="E35" s="5">
        <v>94.626170000000002</v>
      </c>
      <c r="F35" s="5">
        <v>97.196259999999995</v>
      </c>
      <c r="G35" s="5">
        <v>91.355140000000006</v>
      </c>
      <c r="H35" s="5">
        <v>26.655439999999999</v>
      </c>
      <c r="I35" s="5">
        <v>29.236809999999998</v>
      </c>
      <c r="J35" s="5">
        <v>26.262630000000001</v>
      </c>
      <c r="K35" s="5">
        <v>62.146889999999999</v>
      </c>
      <c r="L35" s="5">
        <v>59.830509999999997</v>
      </c>
      <c r="M35" s="5">
        <v>60.395479999999999</v>
      </c>
      <c r="O35" s="8" t="s">
        <v>32</v>
      </c>
      <c r="P35" s="5">
        <v>99.770510000000002</v>
      </c>
      <c r="Q35" s="5">
        <v>95.697069999999997</v>
      </c>
      <c r="R35" s="5">
        <v>93.057950000000005</v>
      </c>
      <c r="S35" s="5">
        <v>94.023319999999998</v>
      </c>
      <c r="T35" s="5">
        <v>102.2777</v>
      </c>
      <c r="U35" s="5">
        <v>94.023319999999998</v>
      </c>
      <c r="V35" s="5">
        <v>28.293949999999999</v>
      </c>
      <c r="W35" s="5">
        <v>26.852219999999999</v>
      </c>
      <c r="X35" s="5">
        <v>24.509409999999999</v>
      </c>
      <c r="Y35" s="5">
        <v>80.283190000000005</v>
      </c>
      <c r="Z35" s="5">
        <v>77.575220000000002</v>
      </c>
      <c r="AA35" s="5">
        <v>82.407079999999993</v>
      </c>
    </row>
    <row r="36" spans="1:28" x14ac:dyDescent="0.2">
      <c r="K36">
        <f>_xlfn.T.TEST(H35:J35,K35:M35,2,2)</f>
        <v>8.7930163860944097E-6</v>
      </c>
      <c r="N36" t="s">
        <v>391</v>
      </c>
      <c r="Y36">
        <f>_xlfn.T.TEST(V35:X35,Y35:AA35,2,2)</f>
        <v>7.2910143600714088E-6</v>
      </c>
      <c r="AB36" t="s">
        <v>391</v>
      </c>
    </row>
  </sheetData>
  <mergeCells count="20">
    <mergeCell ref="B2:E2"/>
    <mergeCell ref="F2:I2"/>
    <mergeCell ref="J2:M2"/>
    <mergeCell ref="B33:D33"/>
    <mergeCell ref="E33:G33"/>
    <mergeCell ref="H33:J33"/>
    <mergeCell ref="K33:M33"/>
    <mergeCell ref="B25:D25"/>
    <mergeCell ref="E25:G25"/>
    <mergeCell ref="H25:J25"/>
    <mergeCell ref="B13:D13"/>
    <mergeCell ref="E13:G13"/>
    <mergeCell ref="M13:O13"/>
    <mergeCell ref="P13:R13"/>
    <mergeCell ref="U13:W13"/>
    <mergeCell ref="X13:Z13"/>
    <mergeCell ref="P33:R33"/>
    <mergeCell ref="S33:U33"/>
    <mergeCell ref="V33:X33"/>
    <mergeCell ref="Y33:AA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4"/>
  <sheetViews>
    <sheetView topLeftCell="A45" workbookViewId="0">
      <selection activeCell="A58" sqref="A58"/>
    </sheetView>
  </sheetViews>
  <sheetFormatPr baseColWidth="10" defaultColWidth="8.83203125" defaultRowHeight="15" x14ac:dyDescent="0.2"/>
  <cols>
    <col min="2" max="3" width="11.83203125" bestFit="1" customWidth="1"/>
    <col min="9" max="9" width="11.83203125" bestFit="1" customWidth="1"/>
    <col min="11" max="11" width="11.83203125" bestFit="1" customWidth="1"/>
    <col min="14" max="15" width="11.83203125" bestFit="1" customWidth="1"/>
  </cols>
  <sheetData>
    <row r="1" spans="1:16" x14ac:dyDescent="0.2">
      <c r="A1" s="3" t="s">
        <v>416</v>
      </c>
      <c r="B1" s="4"/>
      <c r="C1" s="4"/>
      <c r="D1" s="4"/>
    </row>
    <row r="2" spans="1:16" x14ac:dyDescent="0.2">
      <c r="A2" s="11" t="s">
        <v>5</v>
      </c>
      <c r="B2" s="14" t="s">
        <v>96</v>
      </c>
      <c r="C2" s="11" t="s">
        <v>3</v>
      </c>
      <c r="D2" s="4" t="s">
        <v>91</v>
      </c>
    </row>
    <row r="3" spans="1:16" x14ac:dyDescent="0.2">
      <c r="A3" s="5">
        <v>0.98777411400000004</v>
      </c>
      <c r="B3" s="5">
        <v>0.16875490700000001</v>
      </c>
      <c r="C3" s="5">
        <v>0.13282043199999999</v>
      </c>
      <c r="D3" s="4"/>
    </row>
    <row r="4" spans="1:16" x14ac:dyDescent="0.2">
      <c r="A4" s="5">
        <v>0.97353800000000001</v>
      </c>
      <c r="B4" s="5">
        <v>0.173371</v>
      </c>
      <c r="C4" s="5">
        <v>0.155838</v>
      </c>
      <c r="D4" s="4"/>
    </row>
    <row r="5" spans="1:16" x14ac:dyDescent="0.2">
      <c r="A5" s="5">
        <v>0.97457499999999997</v>
      </c>
      <c r="B5" s="5">
        <v>0.16673499999999999</v>
      </c>
      <c r="C5" s="5">
        <v>0.15415300000000001</v>
      </c>
      <c r="D5" s="4"/>
    </row>
    <row r="6" spans="1:16" x14ac:dyDescent="0.2">
      <c r="A6" s="5">
        <v>1.0641130000000001</v>
      </c>
      <c r="B6" s="5">
        <v>0.265316</v>
      </c>
      <c r="C6" s="5">
        <v>0.17801900000000001</v>
      </c>
      <c r="D6" s="4"/>
    </row>
    <row r="7" spans="1:16" x14ac:dyDescent="0.2">
      <c r="B7">
        <f>_xlfn.T.TEST(A3:A6,B3:B6,2,2)</f>
        <v>2.7033127758926175E-7</v>
      </c>
      <c r="C7">
        <f>_xlfn.T.TEST(A3:A6,C3:C6,2,2)</f>
        <v>3.0935200807963714E-8</v>
      </c>
      <c r="D7" t="s">
        <v>391</v>
      </c>
    </row>
    <row r="8" spans="1:16" x14ac:dyDescent="0.2">
      <c r="A8" s="3" t="s">
        <v>417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">
      <c r="A9" s="11" t="s">
        <v>33</v>
      </c>
      <c r="B9" s="53" t="s">
        <v>25</v>
      </c>
      <c r="C9" s="53"/>
      <c r="D9" s="53"/>
      <c r="E9" s="53" t="s">
        <v>91</v>
      </c>
      <c r="F9" s="53"/>
      <c r="G9" s="53"/>
      <c r="H9" s="4"/>
      <c r="I9" s="4"/>
      <c r="J9" s="11" t="s">
        <v>32</v>
      </c>
      <c r="K9" s="53" t="s">
        <v>25</v>
      </c>
      <c r="L9" s="53"/>
      <c r="M9" s="53"/>
      <c r="N9" s="53" t="s">
        <v>91</v>
      </c>
      <c r="O9" s="53"/>
      <c r="P9" s="53"/>
    </row>
    <row r="10" spans="1:16" x14ac:dyDescent="0.2">
      <c r="A10" s="5">
        <v>0.1</v>
      </c>
      <c r="B10" s="5">
        <v>94.689430000000002</v>
      </c>
      <c r="C10" s="5">
        <v>106.2589</v>
      </c>
      <c r="D10" s="5">
        <v>99.051680000000005</v>
      </c>
      <c r="E10" s="5">
        <v>96.775720000000007</v>
      </c>
      <c r="F10" s="5">
        <v>94.689430000000002</v>
      </c>
      <c r="G10" s="5">
        <v>95.258420000000001</v>
      </c>
      <c r="H10" s="4"/>
      <c r="I10" s="4"/>
      <c r="J10" s="5">
        <v>0.1</v>
      </c>
      <c r="K10" s="5">
        <v>105.4778</v>
      </c>
      <c r="L10" s="5">
        <v>95.588049999999996</v>
      </c>
      <c r="M10" s="5">
        <v>98.934190000000001</v>
      </c>
      <c r="N10" s="5">
        <v>98.041889999999995</v>
      </c>
      <c r="O10" s="5">
        <v>95.811130000000006</v>
      </c>
      <c r="P10" s="5">
        <v>94.621390000000005</v>
      </c>
    </row>
    <row r="11" spans="1:16" x14ac:dyDescent="0.2">
      <c r="A11" s="5">
        <v>1</v>
      </c>
      <c r="B11" s="5">
        <v>99.715500000000006</v>
      </c>
      <c r="C11" s="5">
        <v>99.905169999999998</v>
      </c>
      <c r="D11" s="5">
        <v>95.163579999999996</v>
      </c>
      <c r="E11" s="5">
        <v>95.163579999999996</v>
      </c>
      <c r="F11" s="5">
        <v>97.439539999999994</v>
      </c>
      <c r="G11" s="5">
        <v>93.646280000000004</v>
      </c>
      <c r="H11" s="4"/>
      <c r="I11" s="4"/>
      <c r="J11" s="5">
        <v>1</v>
      </c>
      <c r="K11" s="5">
        <v>100.0496</v>
      </c>
      <c r="L11" s="5">
        <v>92.46499</v>
      </c>
      <c r="M11" s="5">
        <v>92.762420000000006</v>
      </c>
      <c r="N11" s="5">
        <v>96.480360000000005</v>
      </c>
      <c r="O11" s="5">
        <v>93.506010000000003</v>
      </c>
      <c r="P11" s="5">
        <v>85.103480000000005</v>
      </c>
    </row>
    <row r="12" spans="1:16" x14ac:dyDescent="0.2">
      <c r="A12" s="5">
        <v>10</v>
      </c>
      <c r="B12" s="5">
        <v>95.542910000000006</v>
      </c>
      <c r="C12" s="5">
        <v>97.818870000000004</v>
      </c>
      <c r="D12" s="5">
        <v>96.680890000000005</v>
      </c>
      <c r="E12" s="5">
        <v>91.844480000000004</v>
      </c>
      <c r="F12" s="5">
        <v>92.697959999999995</v>
      </c>
      <c r="G12" s="5">
        <v>94.025599999999997</v>
      </c>
      <c r="H12" s="4"/>
      <c r="I12" s="4"/>
      <c r="J12" s="5">
        <v>10</v>
      </c>
      <c r="K12" s="5">
        <v>98.562399999999997</v>
      </c>
      <c r="L12" s="5">
        <v>95.513689999999997</v>
      </c>
      <c r="M12" s="5">
        <v>97.595740000000006</v>
      </c>
      <c r="N12" s="5">
        <v>94.175240000000002</v>
      </c>
      <c r="O12" s="5">
        <v>91.572689999999994</v>
      </c>
      <c r="P12" s="5">
        <v>87.854749999999996</v>
      </c>
    </row>
    <row r="13" spans="1:16" x14ac:dyDescent="0.2">
      <c r="A13" s="5">
        <v>50</v>
      </c>
      <c r="B13" s="5">
        <v>72.024659999999997</v>
      </c>
      <c r="C13" s="5">
        <v>72.214320000000001</v>
      </c>
      <c r="D13" s="5">
        <v>69.938360000000003</v>
      </c>
      <c r="E13" s="5">
        <v>79.800849999999997</v>
      </c>
      <c r="F13" s="5">
        <v>78.378380000000007</v>
      </c>
      <c r="G13" s="5">
        <v>78.757710000000003</v>
      </c>
      <c r="H13" s="4"/>
      <c r="I13" s="4"/>
      <c r="J13" s="5">
        <v>50</v>
      </c>
      <c r="K13" s="5">
        <v>91.795760000000001</v>
      </c>
      <c r="L13" s="5">
        <v>89.936800000000005</v>
      </c>
      <c r="M13" s="5">
        <v>89.341930000000005</v>
      </c>
      <c r="N13" s="5">
        <v>89.267570000000006</v>
      </c>
      <c r="O13" s="5">
        <v>90.457310000000007</v>
      </c>
      <c r="P13" s="5">
        <v>84.954769999999996</v>
      </c>
    </row>
    <row r="14" spans="1:16" x14ac:dyDescent="0.2">
      <c r="A14" s="5">
        <v>100</v>
      </c>
      <c r="B14" s="5">
        <v>46.704599999999999</v>
      </c>
      <c r="C14" s="5">
        <v>49.35989</v>
      </c>
      <c r="D14" s="5">
        <v>45.376959999999997</v>
      </c>
      <c r="E14" s="5">
        <v>46.13561</v>
      </c>
      <c r="F14" s="5">
        <v>47.558079999999997</v>
      </c>
      <c r="G14" s="5">
        <v>46.514940000000003</v>
      </c>
      <c r="H14" s="4"/>
      <c r="I14" s="4"/>
      <c r="J14" s="5">
        <v>100</v>
      </c>
      <c r="K14" s="5">
        <v>64.580489999999998</v>
      </c>
      <c r="L14" s="5">
        <v>67.108689999999996</v>
      </c>
      <c r="M14" s="5">
        <v>75.957369999999997</v>
      </c>
      <c r="N14" s="5">
        <v>77.221459999999993</v>
      </c>
      <c r="O14" s="5">
        <v>75.957369999999997</v>
      </c>
      <c r="P14" s="5">
        <v>74.990710000000007</v>
      </c>
    </row>
    <row r="15" spans="1:16" x14ac:dyDescent="0.2">
      <c r="A15" s="5">
        <v>200</v>
      </c>
      <c r="B15" s="5">
        <v>28.781410000000001</v>
      </c>
      <c r="C15" s="5">
        <v>29.634899999999998</v>
      </c>
      <c r="D15" s="5">
        <v>28.876239999999999</v>
      </c>
      <c r="E15" s="5">
        <v>31.91086</v>
      </c>
      <c r="F15" s="5">
        <v>31.247039999999998</v>
      </c>
      <c r="G15" s="5">
        <v>27.074439999999999</v>
      </c>
      <c r="H15" s="4"/>
      <c r="I15" s="4"/>
      <c r="J15" s="5">
        <v>200</v>
      </c>
      <c r="K15" s="5">
        <v>42.719050000000003</v>
      </c>
      <c r="L15" s="5">
        <v>42.719050000000003</v>
      </c>
      <c r="M15" s="5">
        <v>54.170279999999998</v>
      </c>
      <c r="N15" s="5">
        <v>45.916469999999997</v>
      </c>
      <c r="O15" s="5">
        <v>42.421610000000001</v>
      </c>
      <c r="P15" s="5">
        <v>42.793410000000002</v>
      </c>
    </row>
    <row r="16" spans="1:16" x14ac:dyDescent="0.2">
      <c r="A16" s="5">
        <v>500</v>
      </c>
      <c r="B16" s="5">
        <v>20.91038</v>
      </c>
      <c r="C16" s="5">
        <v>18.53959</v>
      </c>
      <c r="D16" s="5">
        <v>18.349930000000001</v>
      </c>
      <c r="E16" s="5">
        <v>17.401610000000002</v>
      </c>
      <c r="F16" s="5">
        <v>15.12565</v>
      </c>
      <c r="G16" s="5">
        <v>17.30678</v>
      </c>
      <c r="H16" s="4"/>
      <c r="I16" s="4"/>
      <c r="J16" s="5">
        <v>500</v>
      </c>
      <c r="K16" s="5">
        <v>20.857600000000001</v>
      </c>
      <c r="L16" s="5">
        <v>19.444790000000001</v>
      </c>
      <c r="M16" s="5">
        <v>20.70889</v>
      </c>
      <c r="N16" s="5">
        <v>21.229399999999998</v>
      </c>
      <c r="O16" s="5">
        <v>19.444790000000001</v>
      </c>
      <c r="P16" s="5">
        <v>19.74222</v>
      </c>
    </row>
    <row r="18" spans="1:23" x14ac:dyDescent="0.2">
      <c r="A18" s="3" t="s">
        <v>418</v>
      </c>
      <c r="B18" s="4"/>
      <c r="C18" s="4"/>
      <c r="D18" s="4"/>
      <c r="E18" s="4"/>
      <c r="F18" s="4"/>
      <c r="G18" s="4"/>
      <c r="H18" s="4"/>
      <c r="I18" s="4"/>
      <c r="J18" s="4"/>
    </row>
    <row r="19" spans="1:23" x14ac:dyDescent="0.2">
      <c r="A19" s="53" t="s">
        <v>98</v>
      </c>
      <c r="B19" s="53"/>
      <c r="C19" s="53"/>
      <c r="D19" s="53" t="s">
        <v>99</v>
      </c>
      <c r="E19" s="53"/>
      <c r="F19" s="53"/>
      <c r="G19" s="53" t="s">
        <v>100</v>
      </c>
      <c r="H19" s="53"/>
      <c r="I19" s="53"/>
      <c r="J19" s="4"/>
    </row>
    <row r="20" spans="1:23" x14ac:dyDescent="0.2">
      <c r="A20" s="5">
        <v>1.021012</v>
      </c>
      <c r="B20" s="5">
        <v>0.98623300000000003</v>
      </c>
      <c r="C20" s="5">
        <v>0.99309199999999997</v>
      </c>
      <c r="D20" s="5">
        <v>0.33603100000000002</v>
      </c>
      <c r="E20" s="5">
        <v>0.38599800000000001</v>
      </c>
      <c r="F20" s="5">
        <v>0.34309200000000001</v>
      </c>
      <c r="G20" s="5">
        <v>0.41658000000000001</v>
      </c>
      <c r="H20" s="5">
        <v>0.38599800000000001</v>
      </c>
      <c r="I20" s="5">
        <v>0.44339600000000001</v>
      </c>
      <c r="J20" s="4" t="s">
        <v>101</v>
      </c>
    </row>
    <row r="21" spans="1:23" x14ac:dyDescent="0.2">
      <c r="A21" s="1"/>
      <c r="B21" s="1"/>
      <c r="C21" s="1"/>
      <c r="D21">
        <f>_xlfn.T.TEST(A20:C20,D20:F20,2,2)</f>
        <v>4.3878945300491612E-6</v>
      </c>
      <c r="G21">
        <f>_xlfn.T.TEST(A20:C20,G20:I20,2,2)</f>
        <v>7.6678334315534034E-6</v>
      </c>
      <c r="H21" s="1"/>
      <c r="I21" s="1"/>
      <c r="K21" t="s">
        <v>391</v>
      </c>
    </row>
    <row r="22" spans="1:23" x14ac:dyDescent="0.2">
      <c r="A22" s="3" t="s">
        <v>419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23" x14ac:dyDescent="0.2">
      <c r="A23" s="53" t="s">
        <v>98</v>
      </c>
      <c r="B23" s="53"/>
      <c r="C23" s="53"/>
      <c r="D23" s="53"/>
      <c r="E23" s="53" t="s">
        <v>99</v>
      </c>
      <c r="F23" s="53"/>
      <c r="G23" s="53"/>
      <c r="H23" s="53"/>
      <c r="I23" s="53" t="s">
        <v>100</v>
      </c>
      <c r="J23" s="53"/>
      <c r="K23" s="53"/>
      <c r="L23" s="53"/>
      <c r="M23" s="4"/>
    </row>
    <row r="24" spans="1:23" x14ac:dyDescent="0.2">
      <c r="A24" s="5">
        <v>1.0492909969999999</v>
      </c>
      <c r="B24" s="5">
        <v>1.0234789950000001</v>
      </c>
      <c r="C24" s="5">
        <v>0.99936100000000005</v>
      </c>
      <c r="D24" s="5">
        <v>0.92786900000000005</v>
      </c>
      <c r="E24" s="5">
        <v>0.46018167700000001</v>
      </c>
      <c r="F24" s="5">
        <v>0.41165511199999999</v>
      </c>
      <c r="G24" s="5">
        <v>0.42964400000000003</v>
      </c>
      <c r="H24" s="5">
        <v>0.63314899999999996</v>
      </c>
      <c r="I24" s="5">
        <v>0.43117957499999998</v>
      </c>
      <c r="J24" s="5">
        <v>0.239787</v>
      </c>
      <c r="K24" s="5">
        <v>0.25737900000000002</v>
      </c>
      <c r="L24" s="5">
        <v>0.48322720000000002</v>
      </c>
      <c r="M24" s="4" t="s">
        <v>102</v>
      </c>
    </row>
    <row r="25" spans="1:23" x14ac:dyDescent="0.2">
      <c r="E25">
        <f>_xlfn.T.TEST(A24:D24,E24:H24,2,2)</f>
        <v>1.0293686453347136E-4</v>
      </c>
      <c r="I25">
        <f>_xlfn.T.TEST(A24:D24,I24:L24,2,2)</f>
        <v>6.8193338331477664E-5</v>
      </c>
      <c r="M25" t="s">
        <v>391</v>
      </c>
    </row>
    <row r="26" spans="1:23" x14ac:dyDescent="0.2">
      <c r="A26" s="3" t="s">
        <v>420</v>
      </c>
      <c r="B26" s="4"/>
      <c r="C26" s="4"/>
      <c r="D26" s="4"/>
      <c r="E26" s="4"/>
      <c r="F26" s="4"/>
      <c r="G26" s="4"/>
      <c r="H26" s="4"/>
      <c r="I26" s="4"/>
      <c r="J26" s="4"/>
    </row>
    <row r="27" spans="1:23" x14ac:dyDescent="0.2">
      <c r="A27" s="53" t="s">
        <v>98</v>
      </c>
      <c r="B27" s="53"/>
      <c r="C27" s="53"/>
      <c r="D27" s="53" t="s">
        <v>99</v>
      </c>
      <c r="E27" s="53"/>
      <c r="F27" s="53"/>
      <c r="G27" s="53" t="s">
        <v>100</v>
      </c>
      <c r="H27" s="53"/>
      <c r="I27" s="53"/>
      <c r="J27" s="4"/>
    </row>
    <row r="28" spans="1:23" x14ac:dyDescent="0.2">
      <c r="A28" s="5">
        <v>1.028114</v>
      </c>
      <c r="B28" s="5">
        <v>0.95926400000000001</v>
      </c>
      <c r="C28" s="5">
        <v>1.0139590000000001</v>
      </c>
      <c r="D28" s="5">
        <v>0.903335</v>
      </c>
      <c r="E28" s="5">
        <v>0.81979400000000002</v>
      </c>
      <c r="F28" s="5">
        <v>0.72866799999999998</v>
      </c>
      <c r="G28" s="5">
        <v>1.0892489999999999</v>
      </c>
      <c r="H28" s="5">
        <v>1.295342</v>
      </c>
      <c r="I28" s="5">
        <v>1.3410219999999999</v>
      </c>
      <c r="J28" s="4" t="s">
        <v>6</v>
      </c>
    </row>
    <row r="29" spans="1:23" x14ac:dyDescent="0.2">
      <c r="D29">
        <f>_xlfn.T.TEST(A28:C28,D28:F28,2,2)</f>
        <v>2.8489905118286429E-2</v>
      </c>
      <c r="G29">
        <f>_xlfn.T.TEST(A28:C28,G28:I28,2,2)</f>
        <v>3.9592748234403521E-2</v>
      </c>
      <c r="K29" t="s">
        <v>391</v>
      </c>
    </row>
    <row r="30" spans="1:23" x14ac:dyDescent="0.2">
      <c r="A30" s="3" t="s">
        <v>421</v>
      </c>
      <c r="B30" s="4"/>
      <c r="C30" s="4"/>
      <c r="D30" s="4"/>
      <c r="E30" s="4"/>
      <c r="F30" s="4"/>
      <c r="G30" s="4"/>
      <c r="H30" s="4"/>
      <c r="I30" s="4"/>
      <c r="J30" s="4"/>
      <c r="N30" s="3" t="s">
        <v>422</v>
      </c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2">
      <c r="A31" s="11" t="s">
        <v>33</v>
      </c>
      <c r="B31" s="53" t="s">
        <v>98</v>
      </c>
      <c r="C31" s="53"/>
      <c r="D31" s="53"/>
      <c r="E31" s="53" t="s">
        <v>99</v>
      </c>
      <c r="F31" s="53"/>
      <c r="G31" s="53"/>
      <c r="H31" s="53" t="s">
        <v>100</v>
      </c>
      <c r="I31" s="53"/>
      <c r="J31" s="53"/>
      <c r="N31" s="11" t="s">
        <v>32</v>
      </c>
      <c r="O31" s="53" t="s">
        <v>98</v>
      </c>
      <c r="P31" s="53"/>
      <c r="Q31" s="53"/>
      <c r="R31" s="53" t="s">
        <v>99</v>
      </c>
      <c r="S31" s="53"/>
      <c r="T31" s="53"/>
      <c r="U31" s="53" t="s">
        <v>100</v>
      </c>
      <c r="V31" s="53"/>
      <c r="W31" s="53"/>
    </row>
    <row r="32" spans="1:23" x14ac:dyDescent="0.2">
      <c r="A32" s="5">
        <v>0.1</v>
      </c>
      <c r="B32" s="5">
        <v>100.285</v>
      </c>
      <c r="C32" s="5">
        <v>99.288300000000007</v>
      </c>
      <c r="D32" s="5">
        <v>100.42700000000001</v>
      </c>
      <c r="E32" s="5">
        <v>99.331100000000006</v>
      </c>
      <c r="F32" s="5">
        <v>98.868020000000001</v>
      </c>
      <c r="G32" s="5">
        <v>101.801</v>
      </c>
      <c r="H32" s="5">
        <v>98.813100000000006</v>
      </c>
      <c r="I32" s="5">
        <v>97.169600000000003</v>
      </c>
      <c r="J32" s="5">
        <v>104.01730000000001</v>
      </c>
      <c r="N32" s="5">
        <v>0.1</v>
      </c>
      <c r="O32" s="5">
        <v>103.627</v>
      </c>
      <c r="P32" s="5">
        <v>98.186400000000006</v>
      </c>
      <c r="Q32" s="5">
        <v>98.186430000000001</v>
      </c>
      <c r="R32" s="5">
        <v>99.805599999999998</v>
      </c>
      <c r="S32" s="5">
        <v>98.185940000000002</v>
      </c>
      <c r="T32" s="5">
        <v>102.008</v>
      </c>
      <c r="U32" s="5">
        <v>98.993700000000004</v>
      </c>
      <c r="V32" s="5">
        <v>99.778599999999997</v>
      </c>
      <c r="W32" s="5">
        <v>101.2277</v>
      </c>
    </row>
    <row r="33" spans="1:23" x14ac:dyDescent="0.2">
      <c r="A33" s="5">
        <v>10</v>
      </c>
      <c r="B33" s="5">
        <v>99.715299999999999</v>
      </c>
      <c r="C33" s="5">
        <v>96.298900000000003</v>
      </c>
      <c r="D33" s="5">
        <v>93.879000000000005</v>
      </c>
      <c r="E33" s="5">
        <v>91.458699999999993</v>
      </c>
      <c r="F33" s="5">
        <v>91.767430000000004</v>
      </c>
      <c r="G33" s="5">
        <v>91.921800000000005</v>
      </c>
      <c r="H33" s="5">
        <v>94.978300000000004</v>
      </c>
      <c r="I33" s="5">
        <v>95.6631</v>
      </c>
      <c r="J33" s="5">
        <v>98.402190000000004</v>
      </c>
      <c r="N33" s="5">
        <v>10</v>
      </c>
      <c r="O33" s="5">
        <v>106.166</v>
      </c>
      <c r="P33" s="5">
        <v>101.08799999999999</v>
      </c>
      <c r="Q33" s="5">
        <v>99.347120000000004</v>
      </c>
      <c r="R33" s="5">
        <v>95.335300000000004</v>
      </c>
      <c r="S33" s="5">
        <v>95.400059999999996</v>
      </c>
      <c r="T33" s="5">
        <v>98.963399999999993</v>
      </c>
      <c r="U33" s="5">
        <v>97.665300000000002</v>
      </c>
      <c r="V33" s="5">
        <v>100.262</v>
      </c>
      <c r="W33" s="5">
        <v>99.295559999999995</v>
      </c>
    </row>
    <row r="34" spans="1:23" x14ac:dyDescent="0.2">
      <c r="A34" s="5">
        <v>50</v>
      </c>
      <c r="B34" s="5">
        <v>103.843</v>
      </c>
      <c r="C34" s="5">
        <v>93.309600000000003</v>
      </c>
      <c r="D34" s="5">
        <v>92.740210000000005</v>
      </c>
      <c r="E34" s="5">
        <v>95.780799999999999</v>
      </c>
      <c r="F34" s="5">
        <v>92.69359</v>
      </c>
      <c r="G34" s="5">
        <v>91.613100000000003</v>
      </c>
      <c r="H34" s="5">
        <v>92.924000000000007</v>
      </c>
      <c r="I34" s="5">
        <v>97.032600000000002</v>
      </c>
      <c r="J34" s="5">
        <v>99.771739999999994</v>
      </c>
      <c r="N34" s="5">
        <v>50</v>
      </c>
      <c r="O34" s="5">
        <v>100.871</v>
      </c>
      <c r="P34" s="5">
        <v>96.953199999999995</v>
      </c>
      <c r="Q34" s="5">
        <v>95.429820000000007</v>
      </c>
      <c r="R34" s="5">
        <v>98.833799999999997</v>
      </c>
      <c r="S34" s="5">
        <v>98.380300000000005</v>
      </c>
      <c r="T34" s="5">
        <v>94.752200000000002</v>
      </c>
      <c r="U34" s="5">
        <v>99.114400000000003</v>
      </c>
      <c r="V34" s="5">
        <v>98.8125</v>
      </c>
      <c r="W34" s="5">
        <v>101.3485</v>
      </c>
    </row>
    <row r="35" spans="1:23" x14ac:dyDescent="0.2">
      <c r="A35" s="5">
        <v>100</v>
      </c>
      <c r="B35" s="5">
        <v>87.900400000000005</v>
      </c>
      <c r="C35" s="5">
        <v>82.633499999999998</v>
      </c>
      <c r="D35" s="5">
        <v>82.918149999999997</v>
      </c>
      <c r="E35" s="5">
        <v>82.197100000000006</v>
      </c>
      <c r="F35" s="5">
        <v>84.35812</v>
      </c>
      <c r="G35" s="5">
        <v>84.203800000000001</v>
      </c>
      <c r="H35" s="5">
        <v>75.941599999999994</v>
      </c>
      <c r="I35" s="5">
        <v>76.900300000000001</v>
      </c>
      <c r="J35" s="5">
        <v>85.802329999999998</v>
      </c>
      <c r="N35" s="5">
        <v>100</v>
      </c>
      <c r="O35" s="5">
        <v>99.637299999999996</v>
      </c>
      <c r="P35" s="5">
        <v>97.823700000000002</v>
      </c>
      <c r="Q35" s="5">
        <v>98.258979999999994</v>
      </c>
      <c r="R35" s="5">
        <v>95.983199999999997</v>
      </c>
      <c r="S35" s="5">
        <v>97.084549999999993</v>
      </c>
      <c r="T35" s="5">
        <v>97.991600000000005</v>
      </c>
      <c r="U35" s="5">
        <v>93.559399999999997</v>
      </c>
      <c r="V35" s="5">
        <v>98.027600000000007</v>
      </c>
      <c r="W35" s="5">
        <v>101.2277</v>
      </c>
    </row>
    <row r="36" spans="1:23" x14ac:dyDescent="0.2">
      <c r="A36" s="5">
        <v>200</v>
      </c>
      <c r="B36" s="5">
        <v>63.274000000000001</v>
      </c>
      <c r="C36" s="5">
        <v>60.142299999999999</v>
      </c>
      <c r="D36" s="5">
        <v>63.985770000000002</v>
      </c>
      <c r="E36" s="5">
        <v>58.888599999999997</v>
      </c>
      <c r="F36" s="5">
        <v>65.989189999999994</v>
      </c>
      <c r="G36" s="5">
        <v>62.747599999999998</v>
      </c>
      <c r="H36" s="5">
        <v>54.439599999999999</v>
      </c>
      <c r="I36" s="5">
        <v>56.083100000000002</v>
      </c>
      <c r="J36" s="5">
        <v>54.987450000000003</v>
      </c>
      <c r="N36" s="5">
        <v>200</v>
      </c>
      <c r="O36" s="5">
        <v>95.067099999999996</v>
      </c>
      <c r="P36" s="5">
        <v>91.802700000000002</v>
      </c>
      <c r="Q36" s="5">
        <v>89.77149</v>
      </c>
      <c r="R36" s="5">
        <v>90.735299999999995</v>
      </c>
      <c r="S36" s="5">
        <v>89.76352</v>
      </c>
      <c r="T36" s="5">
        <v>96.760599999999997</v>
      </c>
      <c r="U36" s="5">
        <v>95.793499999999995</v>
      </c>
      <c r="V36" s="5">
        <v>97.061499999999995</v>
      </c>
      <c r="W36" s="5">
        <v>96.940730000000002</v>
      </c>
    </row>
    <row r="37" spans="1:23" x14ac:dyDescent="0.2">
      <c r="A37" s="5">
        <v>300</v>
      </c>
      <c r="B37" s="5">
        <v>46.619199999999999</v>
      </c>
      <c r="C37" s="5">
        <v>46.761600000000001</v>
      </c>
      <c r="D37" s="5">
        <v>50.17794</v>
      </c>
      <c r="E37" s="5">
        <v>42.372</v>
      </c>
      <c r="F37" s="5">
        <v>43.76126</v>
      </c>
      <c r="G37" s="5">
        <v>44.841799999999999</v>
      </c>
      <c r="H37" s="5">
        <v>42.798400000000001</v>
      </c>
      <c r="I37" s="5">
        <v>45.400599999999997</v>
      </c>
      <c r="J37" s="5">
        <v>40.333260000000003</v>
      </c>
      <c r="N37" s="5">
        <v>300</v>
      </c>
      <c r="O37" s="5">
        <v>51.3964</v>
      </c>
      <c r="P37" s="5">
        <v>42.473700000000001</v>
      </c>
      <c r="Q37" s="5">
        <v>39.499459999999999</v>
      </c>
      <c r="R37" s="5">
        <v>62.3583</v>
      </c>
      <c r="S37" s="5">
        <v>59.637189999999997</v>
      </c>
      <c r="T37" s="5">
        <v>48.364100000000001</v>
      </c>
      <c r="U37" s="5">
        <v>77.739800000000002</v>
      </c>
      <c r="V37" s="5">
        <v>83.355099999999993</v>
      </c>
      <c r="W37" s="5">
        <v>72.245140000000006</v>
      </c>
    </row>
    <row r="38" spans="1:23" x14ac:dyDescent="0.2">
      <c r="A38" s="5">
        <v>500</v>
      </c>
      <c r="B38" s="5">
        <v>40.9253</v>
      </c>
      <c r="C38" s="5">
        <v>42.064100000000003</v>
      </c>
      <c r="D38" s="5">
        <v>37.935940000000002</v>
      </c>
      <c r="E38" s="5">
        <v>33.264699999999998</v>
      </c>
      <c r="F38" s="5">
        <v>30.94932</v>
      </c>
      <c r="G38" s="5">
        <v>32.801600000000001</v>
      </c>
      <c r="H38" s="5">
        <v>30.061599999999999</v>
      </c>
      <c r="I38" s="5">
        <v>33.074599999999997</v>
      </c>
      <c r="J38" s="5">
        <v>35.128970000000002</v>
      </c>
      <c r="N38" s="5">
        <v>500</v>
      </c>
      <c r="O38" s="5">
        <v>10.6275</v>
      </c>
      <c r="P38" s="5">
        <v>7.7257899999999999</v>
      </c>
      <c r="Q38" s="5">
        <v>7.7257889999999998</v>
      </c>
      <c r="R38" s="5">
        <v>12.4069</v>
      </c>
      <c r="S38" s="5">
        <v>13.18432</v>
      </c>
      <c r="T38" s="5">
        <v>10.7224</v>
      </c>
      <c r="U38" s="5">
        <v>26.537199999999999</v>
      </c>
      <c r="V38" s="5">
        <v>26.476800000000001</v>
      </c>
      <c r="W38" s="5">
        <v>26.174900000000001</v>
      </c>
    </row>
    <row r="40" spans="1:23" x14ac:dyDescent="0.2">
      <c r="A40" s="3" t="s">
        <v>423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t="s">
        <v>396</v>
      </c>
      <c r="O40" t="s">
        <v>399</v>
      </c>
    </row>
    <row r="41" spans="1:23" x14ac:dyDescent="0.2">
      <c r="A41" s="11"/>
      <c r="B41" s="53" t="s">
        <v>22</v>
      </c>
      <c r="C41" s="53"/>
      <c r="D41" s="53"/>
      <c r="E41" s="53"/>
      <c r="F41" s="60" t="s">
        <v>29</v>
      </c>
      <c r="G41" s="60"/>
      <c r="H41" s="60"/>
      <c r="I41" s="60"/>
      <c r="J41" s="53" t="s">
        <v>30</v>
      </c>
      <c r="K41" s="53"/>
      <c r="L41" s="53"/>
      <c r="M41" s="53"/>
      <c r="N41" t="s">
        <v>407</v>
      </c>
      <c r="O41" t="s">
        <v>391</v>
      </c>
    </row>
    <row r="42" spans="1:23" x14ac:dyDescent="0.2">
      <c r="A42" s="8" t="s">
        <v>25</v>
      </c>
      <c r="B42" s="5">
        <v>1</v>
      </c>
      <c r="C42" s="5">
        <v>0.85833800000000005</v>
      </c>
      <c r="D42" s="5">
        <v>0.86219999999999997</v>
      </c>
      <c r="E42" s="5">
        <v>0.87399899999999997</v>
      </c>
      <c r="F42" s="5">
        <v>0.15465100000000001</v>
      </c>
      <c r="G42" s="5">
        <v>0.166773</v>
      </c>
      <c r="H42" s="5">
        <v>0.14848600000000001</v>
      </c>
      <c r="I42" s="5">
        <v>0.142404</v>
      </c>
      <c r="J42" s="5">
        <v>0.18965399999999999</v>
      </c>
      <c r="K42" s="5">
        <v>0.19849700000000001</v>
      </c>
      <c r="L42" s="5">
        <v>0.196218</v>
      </c>
      <c r="M42" s="5">
        <v>0.18063000000000001</v>
      </c>
      <c r="N42">
        <f>_xlfn.T.TEST(B42:E42,F42:I42,2,2)</f>
        <v>6.2441611097837388E-7</v>
      </c>
      <c r="O42">
        <f>_xlfn.T.TEST(B42:E42,J42:M42,2,2)</f>
        <v>8.2933525860409039E-7</v>
      </c>
    </row>
    <row r="43" spans="1:23" x14ac:dyDescent="0.2">
      <c r="A43" s="8" t="s">
        <v>97</v>
      </c>
      <c r="B43" s="5">
        <v>2.3780030000000001</v>
      </c>
      <c r="C43" s="5">
        <v>2.3927350000000001</v>
      </c>
      <c r="D43" s="5">
        <v>2.266769</v>
      </c>
      <c r="E43" s="5">
        <v>2.3539759999999998</v>
      </c>
      <c r="F43" s="5">
        <v>2.5381260000000001</v>
      </c>
      <c r="G43" s="5">
        <v>2.5768089999999999</v>
      </c>
      <c r="H43" s="5">
        <v>2.445824</v>
      </c>
      <c r="I43" s="5">
        <v>2.754381</v>
      </c>
      <c r="J43" s="5">
        <v>2.823985</v>
      </c>
      <c r="K43" s="5">
        <v>3.2484630000000001</v>
      </c>
      <c r="L43" s="5">
        <v>3.7065769999999998</v>
      </c>
      <c r="M43" s="5">
        <v>3.3925380000000001</v>
      </c>
    </row>
    <row r="45" spans="1:23" x14ac:dyDescent="0.2">
      <c r="A45" s="3" t="s">
        <v>424</v>
      </c>
      <c r="B45" s="4"/>
      <c r="C45" s="4"/>
      <c r="D45" s="4"/>
      <c r="E45" s="4"/>
      <c r="F45" s="4"/>
    </row>
    <row r="46" spans="1:23" x14ac:dyDescent="0.2">
      <c r="A46" s="60" t="s">
        <v>7</v>
      </c>
      <c r="B46" s="60"/>
      <c r="C46" s="60"/>
      <c r="D46" s="53" t="s">
        <v>97</v>
      </c>
      <c r="E46" s="53"/>
      <c r="F46" s="53"/>
    </row>
    <row r="47" spans="1:23" x14ac:dyDescent="0.2">
      <c r="A47" s="5">
        <v>1.194715</v>
      </c>
      <c r="B47" s="5">
        <v>0.95043900000000003</v>
      </c>
      <c r="C47" s="5">
        <v>0.88066599999999995</v>
      </c>
      <c r="D47" s="5">
        <v>0.79004099999999999</v>
      </c>
      <c r="E47" s="5">
        <v>0.95263799999999998</v>
      </c>
      <c r="F47" s="5">
        <v>1.0792280000000001</v>
      </c>
    </row>
    <row r="48" spans="1:23" x14ac:dyDescent="0.2">
      <c r="D48">
        <f>_xlfn.T.TEST(A47:C47,D47:F47,2,2)</f>
        <v>0.62025734802956267</v>
      </c>
    </row>
    <row r="50" spans="1:15" x14ac:dyDescent="0.2">
      <c r="A50" s="3" t="s">
        <v>425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5" x14ac:dyDescent="0.2">
      <c r="A51" s="11"/>
      <c r="B51" s="53" t="s">
        <v>22</v>
      </c>
      <c r="C51" s="53"/>
      <c r="D51" s="53"/>
      <c r="E51" s="53"/>
      <c r="F51" s="60" t="s">
        <v>29</v>
      </c>
      <c r="G51" s="60"/>
      <c r="H51" s="60"/>
      <c r="I51" s="60"/>
      <c r="J51" s="53" t="s">
        <v>30</v>
      </c>
      <c r="K51" s="53"/>
      <c r="L51" s="53"/>
      <c r="M51" s="53"/>
      <c r="N51" t="s">
        <v>407</v>
      </c>
      <c r="O51" t="s">
        <v>391</v>
      </c>
    </row>
    <row r="52" spans="1:15" x14ac:dyDescent="0.2">
      <c r="A52" s="8" t="s">
        <v>7</v>
      </c>
      <c r="B52" s="5">
        <v>101.4832</v>
      </c>
      <c r="C52" s="5">
        <v>97.215720000000005</v>
      </c>
      <c r="D52" s="5">
        <v>101.37909999999999</v>
      </c>
      <c r="E52" s="5">
        <v>99.921940000000006</v>
      </c>
      <c r="F52" s="5">
        <v>102.4978</v>
      </c>
      <c r="G52" s="5">
        <v>100.4307</v>
      </c>
      <c r="H52" s="5">
        <v>101.11969999999999</v>
      </c>
      <c r="I52" s="5">
        <v>95.951769999999996</v>
      </c>
      <c r="J52" s="5">
        <v>99.511510000000001</v>
      </c>
      <c r="K52" s="5">
        <v>99.651079999999993</v>
      </c>
      <c r="L52" s="5">
        <v>103.559</v>
      </c>
      <c r="M52" s="5">
        <v>97.278440000000003</v>
      </c>
      <c r="N52">
        <f>_xlfn.T.TEST(B52:E52,F52:I52,2,2)</f>
        <v>0.9999988941745408</v>
      </c>
      <c r="O52">
        <f>_xlfn.T.TEST(B52:E52,J52:M52,2,2)</f>
        <v>0.99999183427381499</v>
      </c>
    </row>
    <row r="53" spans="1:15" x14ac:dyDescent="0.2">
      <c r="A53" s="8" t="s">
        <v>33</v>
      </c>
      <c r="B53" s="5">
        <v>42.77908</v>
      </c>
      <c r="C53" s="5">
        <v>44.652619999999999</v>
      </c>
      <c r="D53" s="5">
        <v>41.113709999999998</v>
      </c>
      <c r="E53" s="5">
        <v>38.511580000000002</v>
      </c>
      <c r="F53" s="5">
        <v>25.839790000000001</v>
      </c>
      <c r="G53" s="5">
        <v>26.012060000000002</v>
      </c>
      <c r="H53" s="5">
        <v>26.356590000000001</v>
      </c>
      <c r="I53" s="5">
        <v>26.356590000000001</v>
      </c>
      <c r="J53" s="5">
        <v>24.145150000000001</v>
      </c>
      <c r="K53" s="5">
        <v>22.609909999999999</v>
      </c>
      <c r="L53" s="5">
        <v>23.16818</v>
      </c>
      <c r="M53" s="5">
        <v>24.703420000000001</v>
      </c>
      <c r="N53">
        <f t="shared" ref="N53:N56" si="0">_xlfn.T.TEST(B53:E53,F53:I53,2,2)</f>
        <v>2.0997244431308523E-5</v>
      </c>
      <c r="O53">
        <f t="shared" ref="O53:O56" si="1">_xlfn.T.TEST(B53:E53,J53:M53,2,2)</f>
        <v>1.2384958314482014E-5</v>
      </c>
    </row>
    <row r="54" spans="1:15" x14ac:dyDescent="0.2">
      <c r="A54" s="8" t="s">
        <v>94</v>
      </c>
      <c r="B54" s="5">
        <v>47.046579999999999</v>
      </c>
      <c r="C54" s="5">
        <v>47.462919999999997</v>
      </c>
      <c r="D54" s="5">
        <v>43.195419999999999</v>
      </c>
      <c r="E54" s="5">
        <v>44.54853</v>
      </c>
      <c r="F54" s="5">
        <v>26.873390000000001</v>
      </c>
      <c r="G54" s="5">
        <v>25.667529999999999</v>
      </c>
      <c r="H54" s="5">
        <v>27.906980000000001</v>
      </c>
      <c r="I54" s="5">
        <v>25.495259999999998</v>
      </c>
      <c r="J54" s="5">
        <v>25.54082</v>
      </c>
      <c r="K54" s="5">
        <v>24.703420000000001</v>
      </c>
      <c r="L54" s="5">
        <v>24.42428</v>
      </c>
      <c r="M54" s="5">
        <v>30.98395</v>
      </c>
      <c r="N54">
        <f t="shared" si="0"/>
        <v>3.2905022533933957E-6</v>
      </c>
      <c r="O54">
        <f t="shared" si="1"/>
        <v>4.7241589812449563E-5</v>
      </c>
    </row>
    <row r="55" spans="1:15" x14ac:dyDescent="0.2">
      <c r="A55" s="8" t="s">
        <v>32</v>
      </c>
      <c r="B55" s="5">
        <v>50.585479999999997</v>
      </c>
      <c r="C55" s="5">
        <v>46.005719999999997</v>
      </c>
      <c r="D55" s="5">
        <v>49.0242</v>
      </c>
      <c r="E55" s="5">
        <v>44.756700000000002</v>
      </c>
      <c r="F55" s="5">
        <v>26.70112</v>
      </c>
      <c r="G55" s="5">
        <v>24.117139999999999</v>
      </c>
      <c r="H55" s="5">
        <v>25.495259999999998</v>
      </c>
      <c r="I55" s="5">
        <v>25.667529999999999</v>
      </c>
      <c r="J55" s="5">
        <v>24.005579999999998</v>
      </c>
      <c r="K55" s="5">
        <v>21.493369999999999</v>
      </c>
      <c r="L55" s="5">
        <v>22.47034</v>
      </c>
      <c r="M55" s="5">
        <v>28.47174</v>
      </c>
      <c r="N55">
        <f t="shared" si="0"/>
        <v>4.8767475203629424E-6</v>
      </c>
      <c r="O55">
        <f t="shared" si="1"/>
        <v>2.6125231889803402E-5</v>
      </c>
    </row>
    <row r="56" spans="1:15" x14ac:dyDescent="0.2">
      <c r="A56" s="8" t="s">
        <v>95</v>
      </c>
      <c r="B56" s="5">
        <v>56.310169999999999</v>
      </c>
      <c r="C56" s="5">
        <v>53.708039999999997</v>
      </c>
      <c r="D56" s="5">
        <v>46.109810000000003</v>
      </c>
      <c r="E56" s="5">
        <v>45.068959999999997</v>
      </c>
      <c r="F56" s="5">
        <v>35.658909999999999</v>
      </c>
      <c r="G56" s="5">
        <v>34.453060000000001</v>
      </c>
      <c r="H56" s="5">
        <v>35.486649999999997</v>
      </c>
      <c r="I56" s="5">
        <v>34.108530000000002</v>
      </c>
      <c r="J56" s="5">
        <v>33.914859999999997</v>
      </c>
      <c r="K56" s="5">
        <v>32.379620000000003</v>
      </c>
      <c r="L56" s="5">
        <v>36.287509999999997</v>
      </c>
      <c r="M56" s="5">
        <v>44.38241</v>
      </c>
      <c r="N56">
        <f t="shared" si="0"/>
        <v>1.5422611772492021E-3</v>
      </c>
      <c r="O56">
        <f t="shared" si="1"/>
        <v>1.2553471358465426E-2</v>
      </c>
    </row>
    <row r="58" spans="1:15" x14ac:dyDescent="0.2">
      <c r="A58" s="3" t="s">
        <v>426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5" x14ac:dyDescent="0.2">
      <c r="A59" s="11"/>
      <c r="B59" s="53" t="s">
        <v>0</v>
      </c>
      <c r="C59" s="53"/>
      <c r="D59" s="53"/>
      <c r="E59" s="53"/>
      <c r="F59" s="53"/>
      <c r="G59" s="53"/>
      <c r="H59" s="60" t="s">
        <v>1</v>
      </c>
      <c r="I59" s="60"/>
      <c r="J59" s="60"/>
      <c r="K59" s="60"/>
      <c r="L59" s="60"/>
      <c r="M59" s="60"/>
      <c r="N59" t="s">
        <v>407</v>
      </c>
    </row>
    <row r="60" spans="1:15" x14ac:dyDescent="0.2">
      <c r="A60" s="8" t="s">
        <v>7</v>
      </c>
      <c r="B60" s="5">
        <v>103.8043</v>
      </c>
      <c r="C60" s="5">
        <v>99.456519999999998</v>
      </c>
      <c r="D60" s="5">
        <v>99.864130000000003</v>
      </c>
      <c r="E60" s="5">
        <v>96.875</v>
      </c>
      <c r="F60" s="5">
        <v>96.813559999999995</v>
      </c>
      <c r="G60" s="5">
        <v>96</v>
      </c>
      <c r="H60" s="5">
        <v>102.3729</v>
      </c>
      <c r="I60" s="5">
        <v>104.81359999999999</v>
      </c>
      <c r="J60" s="5">
        <v>98.489819999999995</v>
      </c>
      <c r="K60" s="5">
        <v>99.934340000000006</v>
      </c>
      <c r="L60" s="5">
        <v>100.06570000000001</v>
      </c>
      <c r="M60" s="5">
        <v>101.5102</v>
      </c>
      <c r="N60">
        <f>_xlfn.T.TEST(B60:G60,H60:M60,2,2)</f>
        <v>0.13966043031396963</v>
      </c>
    </row>
    <row r="61" spans="1:15" x14ac:dyDescent="0.2">
      <c r="A61" s="8" t="s">
        <v>33</v>
      </c>
      <c r="B61" s="5">
        <v>60.054349999999999</v>
      </c>
      <c r="C61" s="5">
        <v>59.918480000000002</v>
      </c>
      <c r="D61" s="5">
        <v>57.880429999999997</v>
      </c>
      <c r="E61" s="5">
        <v>54.483699999999999</v>
      </c>
      <c r="F61" s="5">
        <v>56.271189999999997</v>
      </c>
      <c r="G61" s="5">
        <v>58.033900000000003</v>
      </c>
      <c r="H61" s="5">
        <v>104.4068</v>
      </c>
      <c r="I61" s="5">
        <v>105.35590000000001</v>
      </c>
      <c r="J61" s="5">
        <v>100.197</v>
      </c>
      <c r="K61" s="5">
        <v>101.7728</v>
      </c>
      <c r="L61" s="5">
        <v>103.21729999999999</v>
      </c>
      <c r="M61" s="5">
        <v>102.0355</v>
      </c>
      <c r="N61">
        <f t="shared" ref="N61:N64" si="2">_xlfn.T.TEST(B61:G61,H61:M61,2,2)</f>
        <v>3.1655976587750648E-12</v>
      </c>
    </row>
    <row r="62" spans="1:15" x14ac:dyDescent="0.2">
      <c r="A62" s="8" t="s">
        <v>94</v>
      </c>
      <c r="B62" s="5">
        <v>41.983699999999999</v>
      </c>
      <c r="C62" s="5">
        <v>40.353259999999999</v>
      </c>
      <c r="D62" s="5">
        <v>41.711959999999998</v>
      </c>
      <c r="E62" s="5">
        <v>39.673909999999999</v>
      </c>
      <c r="F62" s="5">
        <v>40.949150000000003</v>
      </c>
      <c r="G62" s="5">
        <v>40.135590000000001</v>
      </c>
      <c r="H62" s="5">
        <v>96.542370000000005</v>
      </c>
      <c r="I62" s="5">
        <v>101.01690000000001</v>
      </c>
      <c r="J62" s="5">
        <v>100.06570000000001</v>
      </c>
      <c r="K62" s="5">
        <v>97.833219999999997</v>
      </c>
      <c r="L62" s="5">
        <v>100.7223</v>
      </c>
      <c r="M62" s="5">
        <v>97.570580000000007</v>
      </c>
      <c r="N62">
        <f t="shared" si="2"/>
        <v>1.1074209490224167E-14</v>
      </c>
    </row>
    <row r="63" spans="1:15" x14ac:dyDescent="0.2">
      <c r="A63" s="8" t="s">
        <v>32</v>
      </c>
      <c r="B63" s="5">
        <v>42.119570000000003</v>
      </c>
      <c r="C63" s="5">
        <v>37.771740000000001</v>
      </c>
      <c r="D63" s="5">
        <v>40.760869999999997</v>
      </c>
      <c r="E63" s="5">
        <v>39.945650000000001</v>
      </c>
      <c r="F63" s="5">
        <v>42.169490000000003</v>
      </c>
      <c r="G63" s="5">
        <v>41.355930000000001</v>
      </c>
      <c r="H63" s="5">
        <v>100.06780000000001</v>
      </c>
      <c r="I63" s="5">
        <v>103.322</v>
      </c>
      <c r="J63" s="5">
        <v>101.5102</v>
      </c>
      <c r="K63" s="5">
        <v>104.00530000000001</v>
      </c>
      <c r="L63" s="5">
        <v>102.29810000000001</v>
      </c>
      <c r="M63" s="5">
        <v>94.812870000000004</v>
      </c>
      <c r="N63">
        <f t="shared" si="2"/>
        <v>2.4622225256073144E-12</v>
      </c>
    </row>
    <row r="64" spans="1:15" x14ac:dyDescent="0.2">
      <c r="A64" s="8" t="s">
        <v>95</v>
      </c>
      <c r="B64" s="5">
        <v>32.744570000000003</v>
      </c>
      <c r="C64" s="5">
        <v>30.570650000000001</v>
      </c>
      <c r="D64" s="5">
        <v>32.336959999999998</v>
      </c>
      <c r="E64" s="5">
        <v>29.75543</v>
      </c>
      <c r="F64" s="5">
        <v>31.457630000000002</v>
      </c>
      <c r="G64" s="5">
        <v>30.91525</v>
      </c>
      <c r="H64" s="5">
        <v>93.966099999999997</v>
      </c>
      <c r="I64" s="5">
        <v>96.271190000000004</v>
      </c>
      <c r="J64" s="5">
        <v>100.8536</v>
      </c>
      <c r="K64" s="5">
        <v>94.550229999999999</v>
      </c>
      <c r="L64" s="5">
        <v>93.368350000000007</v>
      </c>
      <c r="M64" s="5">
        <v>92.317790000000002</v>
      </c>
      <c r="N64">
        <f t="shared" si="2"/>
        <v>3.6331139414820875E-13</v>
      </c>
    </row>
  </sheetData>
  <mergeCells count="29">
    <mergeCell ref="A19:C19"/>
    <mergeCell ref="D19:F19"/>
    <mergeCell ref="G19:I19"/>
    <mergeCell ref="K9:M9"/>
    <mergeCell ref="N9:P9"/>
    <mergeCell ref="B9:D9"/>
    <mergeCell ref="E9:G9"/>
    <mergeCell ref="O31:Q31"/>
    <mergeCell ref="R31:T31"/>
    <mergeCell ref="U31:W31"/>
    <mergeCell ref="B31:D31"/>
    <mergeCell ref="E31:G31"/>
    <mergeCell ref="H31:J31"/>
    <mergeCell ref="A23:D23"/>
    <mergeCell ref="E23:H23"/>
    <mergeCell ref="I23:L23"/>
    <mergeCell ref="A27:C27"/>
    <mergeCell ref="D27:F27"/>
    <mergeCell ref="G27:I27"/>
    <mergeCell ref="B59:G59"/>
    <mergeCell ref="H59:M59"/>
    <mergeCell ref="B41:E41"/>
    <mergeCell ref="F41:I41"/>
    <mergeCell ref="J41:M41"/>
    <mergeCell ref="B51:E51"/>
    <mergeCell ref="F51:I51"/>
    <mergeCell ref="J51:M51"/>
    <mergeCell ref="A46:C46"/>
    <mergeCell ref="D46:F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R144"/>
  <sheetViews>
    <sheetView topLeftCell="A7" zoomScaleNormal="55" workbookViewId="0">
      <selection activeCell="E24" sqref="E24"/>
    </sheetView>
  </sheetViews>
  <sheetFormatPr baseColWidth="10" defaultColWidth="8.83203125" defaultRowHeight="15" x14ac:dyDescent="0.2"/>
  <cols>
    <col min="12" max="12" width="14" bestFit="1" customWidth="1"/>
    <col min="13" max="13" width="11.1640625" bestFit="1" customWidth="1"/>
  </cols>
  <sheetData>
    <row r="3" spans="1:14" x14ac:dyDescent="0.2">
      <c r="A3" s="3" t="s">
        <v>65</v>
      </c>
      <c r="B3" s="4"/>
      <c r="C3" s="4"/>
    </row>
    <row r="4" spans="1:14" x14ac:dyDescent="0.2">
      <c r="A4" s="11" t="s">
        <v>25</v>
      </c>
      <c r="B4" s="11" t="s">
        <v>57</v>
      </c>
      <c r="C4" s="11" t="s">
        <v>58</v>
      </c>
      <c r="G4" s="3" t="s">
        <v>87</v>
      </c>
      <c r="H4" s="4"/>
      <c r="I4" s="4"/>
      <c r="J4" s="4"/>
      <c r="K4" s="4"/>
      <c r="L4" s="4"/>
      <c r="M4" s="4"/>
    </row>
    <row r="5" spans="1:14" x14ac:dyDescent="0.2">
      <c r="A5" s="5">
        <v>80</v>
      </c>
      <c r="B5" s="5">
        <v>22.2</v>
      </c>
      <c r="C5" s="5">
        <v>80</v>
      </c>
      <c r="G5" s="53" t="s">
        <v>25</v>
      </c>
      <c r="H5" s="53"/>
      <c r="I5" s="53"/>
      <c r="J5" s="53" t="s">
        <v>60</v>
      </c>
      <c r="K5" s="53"/>
      <c r="L5" s="53"/>
      <c r="M5" s="4"/>
    </row>
    <row r="6" spans="1:14" x14ac:dyDescent="0.2">
      <c r="A6" s="5">
        <v>63.6</v>
      </c>
      <c r="B6" s="5">
        <v>60</v>
      </c>
      <c r="C6" s="5">
        <v>66.7</v>
      </c>
      <c r="G6" s="5">
        <v>1.194715</v>
      </c>
      <c r="H6" s="5">
        <v>0.95043900000000003</v>
      </c>
      <c r="I6" s="5">
        <v>0.88066599999999995</v>
      </c>
      <c r="J6" s="5">
        <v>1.0692999999999999</v>
      </c>
      <c r="K6" s="5">
        <v>1.307369</v>
      </c>
      <c r="L6" s="5">
        <v>1.3441240000000001</v>
      </c>
      <c r="M6" s="4" t="s">
        <v>6</v>
      </c>
    </row>
    <row r="7" spans="1:14" x14ac:dyDescent="0.2">
      <c r="A7" s="5">
        <v>100</v>
      </c>
      <c r="B7" s="5">
        <v>20</v>
      </c>
      <c r="C7" s="5">
        <v>85.7</v>
      </c>
      <c r="J7">
        <f>_xlfn.T.TEST(G6:I6,J6:L6,2,2)</f>
        <v>0.14550902747131583</v>
      </c>
      <c r="N7" t="s">
        <v>391</v>
      </c>
    </row>
    <row r="8" spans="1:14" x14ac:dyDescent="0.2">
      <c r="A8" s="5">
        <v>100</v>
      </c>
      <c r="B8" s="5">
        <v>16.7</v>
      </c>
      <c r="C8" s="5">
        <v>66.7</v>
      </c>
    </row>
    <row r="9" spans="1:14" x14ac:dyDescent="0.2">
      <c r="A9" s="5">
        <v>100</v>
      </c>
      <c r="B9" s="5">
        <v>0</v>
      </c>
      <c r="C9" s="5">
        <v>100</v>
      </c>
    </row>
    <row r="10" spans="1:14" x14ac:dyDescent="0.2">
      <c r="A10" s="5">
        <v>50</v>
      </c>
      <c r="B10" s="5">
        <v>50</v>
      </c>
      <c r="C10" s="5">
        <v>100</v>
      </c>
    </row>
    <row r="11" spans="1:14" x14ac:dyDescent="0.2">
      <c r="A11" s="5">
        <v>81.8</v>
      </c>
      <c r="B11" s="5">
        <v>50</v>
      </c>
      <c r="C11" s="5">
        <v>33.299999999999997</v>
      </c>
    </row>
    <row r="12" spans="1:14" x14ac:dyDescent="0.2">
      <c r="A12" s="5">
        <v>66.7</v>
      </c>
      <c r="B12" s="5">
        <v>71.400000000000006</v>
      </c>
      <c r="C12" s="5">
        <v>75</v>
      </c>
    </row>
    <row r="13" spans="1:14" x14ac:dyDescent="0.2">
      <c r="A13" s="5">
        <v>75</v>
      </c>
      <c r="B13" s="5">
        <v>50</v>
      </c>
      <c r="C13" s="5">
        <v>75</v>
      </c>
    </row>
    <row r="14" spans="1:14" x14ac:dyDescent="0.2">
      <c r="A14" s="5">
        <v>50</v>
      </c>
      <c r="B14" s="5">
        <v>50</v>
      </c>
      <c r="C14" s="5"/>
    </row>
    <row r="15" spans="1:14" x14ac:dyDescent="0.2">
      <c r="B15">
        <f>_xlfn.T.TEST(A5:A14,B5:B14,2,2)</f>
        <v>8.472775725865279E-4</v>
      </c>
      <c r="C15">
        <f>_xlfn.T.TEST(B5:B14,C5:C14,2,2)</f>
        <v>1.719175998454063E-3</v>
      </c>
      <c r="D15" t="s">
        <v>391</v>
      </c>
    </row>
    <row r="18" spans="1:18" x14ac:dyDescent="0.2">
      <c r="A18" s="3" t="s">
        <v>93</v>
      </c>
      <c r="B18" s="4"/>
      <c r="C18" s="4"/>
      <c r="D18" s="4"/>
      <c r="E18" s="4"/>
      <c r="F18" s="4"/>
      <c r="G18" s="4"/>
      <c r="H18" s="4"/>
      <c r="I18" s="4"/>
      <c r="J18" s="4"/>
    </row>
    <row r="19" spans="1:18" x14ac:dyDescent="0.2">
      <c r="A19" s="53" t="s">
        <v>5</v>
      </c>
      <c r="B19" s="53"/>
      <c r="C19" s="53"/>
      <c r="D19" s="53" t="s">
        <v>4</v>
      </c>
      <c r="E19" s="53"/>
      <c r="F19" s="53"/>
      <c r="G19" s="53" t="s">
        <v>59</v>
      </c>
      <c r="H19" s="53"/>
      <c r="I19" s="53"/>
      <c r="J19" s="4" t="s">
        <v>60</v>
      </c>
    </row>
    <row r="20" spans="1:18" x14ac:dyDescent="0.2">
      <c r="A20" s="5">
        <v>1.10765582</v>
      </c>
      <c r="B20" s="5">
        <v>0.99662832000000001</v>
      </c>
      <c r="C20" s="5">
        <v>0.90586179</v>
      </c>
      <c r="D20" s="5">
        <v>1.17876732</v>
      </c>
      <c r="E20" s="5">
        <v>1.03027052</v>
      </c>
      <c r="F20" s="5">
        <v>1.0779753999999999</v>
      </c>
      <c r="G20" s="5">
        <v>1.2451902500000001</v>
      </c>
      <c r="H20" s="5">
        <v>1.1475647899999999</v>
      </c>
      <c r="I20" s="5">
        <v>1.2674832</v>
      </c>
      <c r="J20" s="4" t="s">
        <v>6</v>
      </c>
    </row>
    <row r="21" spans="1:18" x14ac:dyDescent="0.2">
      <c r="D21">
        <f>_xlfn.T.TEST(A20:C20,D20:F20,2,2)</f>
        <v>0.27447667064463216</v>
      </c>
      <c r="G21">
        <f>_xlfn.T.TEST(A20:C20,G20:I20,2,2)</f>
        <v>3.4827463127952152E-2</v>
      </c>
    </row>
    <row r="25" spans="1:18" x14ac:dyDescent="0.2">
      <c r="A25" s="3" t="s">
        <v>427</v>
      </c>
    </row>
    <row r="26" spans="1:18" ht="105" x14ac:dyDescent="0.2">
      <c r="A26" s="19" t="s">
        <v>107</v>
      </c>
      <c r="B26" s="19" t="s">
        <v>108</v>
      </c>
      <c r="C26" s="19" t="s">
        <v>109</v>
      </c>
      <c r="D26" s="19" t="s">
        <v>110</v>
      </c>
      <c r="E26" s="19" t="s">
        <v>111</v>
      </c>
      <c r="F26" s="19" t="s">
        <v>112</v>
      </c>
      <c r="G26" s="19" t="s">
        <v>113</v>
      </c>
      <c r="H26" s="19" t="s">
        <v>114</v>
      </c>
      <c r="I26" s="19" t="s">
        <v>115</v>
      </c>
      <c r="J26" s="19" t="s">
        <v>116</v>
      </c>
      <c r="K26" s="19" t="s">
        <v>117</v>
      </c>
      <c r="L26" s="19" t="s">
        <v>118</v>
      </c>
      <c r="M26" s="20" t="s">
        <v>382</v>
      </c>
      <c r="N26" s="15" t="s">
        <v>119</v>
      </c>
      <c r="O26" s="51" t="s">
        <v>383</v>
      </c>
      <c r="P26" s="51" t="s">
        <v>384</v>
      </c>
      <c r="Q26" s="51" t="s">
        <v>385</v>
      </c>
      <c r="R26" s="51" t="s">
        <v>386</v>
      </c>
    </row>
    <row r="27" spans="1:18" ht="20" x14ac:dyDescent="0.2">
      <c r="A27" s="21" t="s">
        <v>124</v>
      </c>
      <c r="B27" s="21">
        <v>1</v>
      </c>
      <c r="C27" s="21">
        <v>54</v>
      </c>
      <c r="D27" s="21" t="s">
        <v>125</v>
      </c>
      <c r="E27" s="21" t="s">
        <v>126</v>
      </c>
      <c r="F27" s="21" t="s">
        <v>127</v>
      </c>
      <c r="G27" s="21" t="s">
        <v>128</v>
      </c>
      <c r="H27" s="21">
        <v>1</v>
      </c>
      <c r="I27" s="21" t="s">
        <v>129</v>
      </c>
      <c r="J27" s="21" t="s">
        <v>130</v>
      </c>
      <c r="K27" s="21" t="s">
        <v>131</v>
      </c>
      <c r="L27" s="21" t="s">
        <v>133</v>
      </c>
      <c r="M27" s="23" t="s">
        <v>175</v>
      </c>
      <c r="N27" s="15">
        <v>1</v>
      </c>
      <c r="O27" s="16"/>
      <c r="P27" s="16"/>
      <c r="Q27" s="16"/>
      <c r="R27" s="16">
        <v>1</v>
      </c>
    </row>
    <row r="28" spans="1:18" ht="20" x14ac:dyDescent="0.2">
      <c r="A28" s="21" t="s">
        <v>134</v>
      </c>
      <c r="B28" s="21">
        <v>2</v>
      </c>
      <c r="C28" s="21">
        <v>61</v>
      </c>
      <c r="D28" s="21" t="s">
        <v>135</v>
      </c>
      <c r="E28" s="21" t="s">
        <v>126</v>
      </c>
      <c r="F28" s="21" t="s">
        <v>127</v>
      </c>
      <c r="G28" s="21" t="s">
        <v>128</v>
      </c>
      <c r="H28" s="21">
        <v>1</v>
      </c>
      <c r="I28" s="21" t="s">
        <v>129</v>
      </c>
      <c r="J28" s="21" t="s">
        <v>130</v>
      </c>
      <c r="K28" s="21" t="s">
        <v>136</v>
      </c>
      <c r="L28" s="21" t="s">
        <v>132</v>
      </c>
      <c r="M28" s="23" t="s">
        <v>175</v>
      </c>
      <c r="N28" s="15">
        <v>2</v>
      </c>
      <c r="O28" s="16"/>
      <c r="P28" s="16"/>
      <c r="Q28" s="16"/>
      <c r="R28" s="16">
        <v>1</v>
      </c>
    </row>
    <row r="29" spans="1:18" ht="20" x14ac:dyDescent="0.2">
      <c r="A29" s="21" t="s">
        <v>137</v>
      </c>
      <c r="B29" s="21">
        <v>3</v>
      </c>
      <c r="C29" s="21">
        <v>61</v>
      </c>
      <c r="D29" s="21" t="s">
        <v>125</v>
      </c>
      <c r="E29" s="21" t="s">
        <v>126</v>
      </c>
      <c r="F29" s="21" t="s">
        <v>127</v>
      </c>
      <c r="G29" s="21" t="s">
        <v>128</v>
      </c>
      <c r="H29" s="21">
        <v>1</v>
      </c>
      <c r="I29" s="21" t="s">
        <v>129</v>
      </c>
      <c r="J29" s="21" t="s">
        <v>130</v>
      </c>
      <c r="K29" s="21" t="s">
        <v>138</v>
      </c>
      <c r="L29" s="21" t="s">
        <v>132</v>
      </c>
      <c r="M29" s="23" t="s">
        <v>175</v>
      </c>
      <c r="N29" s="15">
        <v>3</v>
      </c>
      <c r="O29" s="16"/>
      <c r="P29" s="16"/>
      <c r="Q29" s="16"/>
      <c r="R29" s="16">
        <v>1</v>
      </c>
    </row>
    <row r="30" spans="1:18" ht="20" x14ac:dyDescent="0.2">
      <c r="A30" s="21" t="s">
        <v>139</v>
      </c>
      <c r="B30" s="21">
        <v>4</v>
      </c>
      <c r="C30" s="21">
        <v>50</v>
      </c>
      <c r="D30" s="21" t="s">
        <v>125</v>
      </c>
      <c r="E30" s="21" t="s">
        <v>126</v>
      </c>
      <c r="F30" s="21" t="s">
        <v>127</v>
      </c>
      <c r="G30" s="21" t="s">
        <v>140</v>
      </c>
      <c r="H30" s="21">
        <v>1</v>
      </c>
      <c r="I30" s="21" t="s">
        <v>141</v>
      </c>
      <c r="J30" s="21" t="s">
        <v>130</v>
      </c>
      <c r="K30" s="21" t="s">
        <v>142</v>
      </c>
      <c r="L30" s="21" t="s">
        <v>132</v>
      </c>
      <c r="M30" s="23" t="s">
        <v>132</v>
      </c>
      <c r="N30" s="15">
        <v>4</v>
      </c>
      <c r="O30" s="16">
        <v>1</v>
      </c>
      <c r="P30" s="16"/>
      <c r="Q30" s="16"/>
      <c r="R30" s="16"/>
    </row>
    <row r="31" spans="1:18" ht="20" x14ac:dyDescent="0.2">
      <c r="A31" s="21" t="s">
        <v>143</v>
      </c>
      <c r="B31" s="21">
        <v>5</v>
      </c>
      <c r="C31" s="21">
        <v>67</v>
      </c>
      <c r="D31" s="21" t="s">
        <v>125</v>
      </c>
      <c r="E31" s="21" t="s">
        <v>126</v>
      </c>
      <c r="F31" s="21" t="s">
        <v>127</v>
      </c>
      <c r="G31" s="21" t="s">
        <v>128</v>
      </c>
      <c r="H31" s="21">
        <v>1</v>
      </c>
      <c r="I31" s="21" t="s">
        <v>129</v>
      </c>
      <c r="J31" s="21" t="s">
        <v>130</v>
      </c>
      <c r="K31" s="21" t="s">
        <v>144</v>
      </c>
      <c r="L31" s="21" t="s">
        <v>132</v>
      </c>
      <c r="M31" s="23" t="s">
        <v>132</v>
      </c>
      <c r="N31" s="15">
        <v>5</v>
      </c>
      <c r="O31" s="16">
        <v>1</v>
      </c>
      <c r="P31" s="16"/>
      <c r="Q31" s="16"/>
      <c r="R31" s="16"/>
    </row>
    <row r="32" spans="1:18" ht="20" x14ac:dyDescent="0.2">
      <c r="A32" s="21" t="s">
        <v>145</v>
      </c>
      <c r="B32" s="21">
        <v>6</v>
      </c>
      <c r="C32" s="21">
        <v>26</v>
      </c>
      <c r="D32" s="21" t="s">
        <v>125</v>
      </c>
      <c r="E32" s="21" t="s">
        <v>126</v>
      </c>
      <c r="F32" s="21" t="s">
        <v>127</v>
      </c>
      <c r="G32" s="21" t="s">
        <v>140</v>
      </c>
      <c r="H32" s="21">
        <v>1</v>
      </c>
      <c r="I32" s="21" t="s">
        <v>141</v>
      </c>
      <c r="J32" s="21" t="s">
        <v>130</v>
      </c>
      <c r="K32" s="21" t="s">
        <v>146</v>
      </c>
      <c r="L32" s="21" t="s">
        <v>147</v>
      </c>
      <c r="M32" s="23" t="s">
        <v>132</v>
      </c>
      <c r="N32" s="15">
        <v>6</v>
      </c>
      <c r="O32" s="16"/>
      <c r="P32" s="16"/>
      <c r="Q32" s="16">
        <v>1</v>
      </c>
      <c r="R32" s="16"/>
    </row>
    <row r="33" spans="1:18" ht="20" x14ac:dyDescent="0.2">
      <c r="A33" s="21" t="s">
        <v>148</v>
      </c>
      <c r="B33" s="21">
        <v>7</v>
      </c>
      <c r="C33" s="21">
        <v>64</v>
      </c>
      <c r="D33" s="21" t="s">
        <v>125</v>
      </c>
      <c r="E33" s="21" t="s">
        <v>126</v>
      </c>
      <c r="F33" s="21" t="s">
        <v>127</v>
      </c>
      <c r="G33" s="21" t="s">
        <v>128</v>
      </c>
      <c r="H33" s="21">
        <v>1</v>
      </c>
      <c r="I33" s="21" t="s">
        <v>129</v>
      </c>
      <c r="J33" s="21" t="s">
        <v>130</v>
      </c>
      <c r="K33" s="21" t="s">
        <v>149</v>
      </c>
      <c r="L33" s="21" t="s">
        <v>132</v>
      </c>
      <c r="M33" s="23" t="s">
        <v>175</v>
      </c>
      <c r="N33" s="15">
        <v>7</v>
      </c>
      <c r="O33" s="16"/>
      <c r="P33" s="16"/>
      <c r="Q33" s="16"/>
      <c r="R33" s="16">
        <v>1</v>
      </c>
    </row>
    <row r="34" spans="1:18" ht="20" x14ac:dyDescent="0.2">
      <c r="A34" s="21" t="s">
        <v>150</v>
      </c>
      <c r="B34" s="21">
        <v>8</v>
      </c>
      <c r="C34" s="21">
        <v>64</v>
      </c>
      <c r="D34" s="21" t="s">
        <v>135</v>
      </c>
      <c r="E34" s="21" t="s">
        <v>126</v>
      </c>
      <c r="F34" s="21" t="s">
        <v>127</v>
      </c>
      <c r="G34" s="21" t="s">
        <v>140</v>
      </c>
      <c r="H34" s="21">
        <v>1</v>
      </c>
      <c r="I34" s="21" t="s">
        <v>141</v>
      </c>
      <c r="J34" s="21" t="s">
        <v>130</v>
      </c>
      <c r="K34" s="21" t="s">
        <v>151</v>
      </c>
      <c r="L34" s="21" t="s">
        <v>132</v>
      </c>
      <c r="M34" s="23" t="s">
        <v>133</v>
      </c>
      <c r="N34" s="15">
        <v>8</v>
      </c>
      <c r="O34" s="16">
        <v>1</v>
      </c>
      <c r="P34" s="16"/>
      <c r="Q34" s="16"/>
      <c r="R34" s="16"/>
    </row>
    <row r="35" spans="1:18" ht="20" x14ac:dyDescent="0.2">
      <c r="A35" s="21" t="s">
        <v>152</v>
      </c>
      <c r="B35" s="21">
        <v>9</v>
      </c>
      <c r="C35" s="21">
        <v>63</v>
      </c>
      <c r="D35" s="21" t="s">
        <v>125</v>
      </c>
      <c r="E35" s="21" t="s">
        <v>126</v>
      </c>
      <c r="F35" s="21" t="s">
        <v>127</v>
      </c>
      <c r="G35" s="21" t="s">
        <v>128</v>
      </c>
      <c r="H35" s="21">
        <v>1</v>
      </c>
      <c r="I35" s="21" t="s">
        <v>129</v>
      </c>
      <c r="J35" s="21" t="s">
        <v>130</v>
      </c>
      <c r="K35" s="21" t="s">
        <v>153</v>
      </c>
      <c r="L35" s="21" t="s">
        <v>132</v>
      </c>
      <c r="M35" s="23" t="s">
        <v>175</v>
      </c>
      <c r="N35" s="15">
        <v>9</v>
      </c>
      <c r="O35" s="16"/>
      <c r="P35" s="16"/>
      <c r="Q35" s="16"/>
      <c r="R35" s="16">
        <v>1</v>
      </c>
    </row>
    <row r="36" spans="1:18" ht="20" x14ac:dyDescent="0.2">
      <c r="A36" s="21" t="s">
        <v>154</v>
      </c>
      <c r="B36" s="21">
        <v>10</v>
      </c>
      <c r="C36" s="21">
        <v>71</v>
      </c>
      <c r="D36" s="21" t="s">
        <v>135</v>
      </c>
      <c r="E36" s="21" t="s">
        <v>126</v>
      </c>
      <c r="F36" s="21" t="s">
        <v>127</v>
      </c>
      <c r="G36" s="21" t="s">
        <v>140</v>
      </c>
      <c r="H36" s="21">
        <v>1</v>
      </c>
      <c r="I36" s="21" t="s">
        <v>141</v>
      </c>
      <c r="J36" s="21" t="s">
        <v>130</v>
      </c>
      <c r="K36" s="21" t="s">
        <v>155</v>
      </c>
      <c r="L36" s="21" t="s">
        <v>133</v>
      </c>
      <c r="M36" s="23" t="s">
        <v>175</v>
      </c>
      <c r="N36" s="15">
        <v>10</v>
      </c>
      <c r="O36" s="16"/>
      <c r="P36" s="16"/>
      <c r="Q36" s="16"/>
      <c r="R36" s="16">
        <v>1</v>
      </c>
    </row>
    <row r="37" spans="1:18" ht="20" x14ac:dyDescent="0.2">
      <c r="A37" s="21" t="s">
        <v>156</v>
      </c>
      <c r="B37" s="21">
        <v>11</v>
      </c>
      <c r="C37" s="21">
        <v>61</v>
      </c>
      <c r="D37" s="21" t="s">
        <v>135</v>
      </c>
      <c r="E37" s="21" t="s">
        <v>126</v>
      </c>
      <c r="F37" s="21" t="s">
        <v>127</v>
      </c>
      <c r="G37" s="21" t="s">
        <v>128</v>
      </c>
      <c r="H37" s="21">
        <v>1</v>
      </c>
      <c r="I37" s="21" t="s">
        <v>129</v>
      </c>
      <c r="J37" s="21" t="s">
        <v>130</v>
      </c>
      <c r="K37" s="21" t="s">
        <v>157</v>
      </c>
      <c r="L37" s="21" t="s">
        <v>132</v>
      </c>
      <c r="M37" s="23" t="s">
        <v>175</v>
      </c>
      <c r="N37" s="15">
        <v>11</v>
      </c>
      <c r="O37" s="16"/>
      <c r="P37" s="16"/>
      <c r="Q37" s="16"/>
      <c r="R37" s="16">
        <v>1</v>
      </c>
    </row>
    <row r="38" spans="1:18" ht="20" x14ac:dyDescent="0.2">
      <c r="A38" s="21" t="s">
        <v>158</v>
      </c>
      <c r="B38" s="21">
        <v>12</v>
      </c>
      <c r="C38" s="21">
        <v>54</v>
      </c>
      <c r="D38" s="21" t="s">
        <v>135</v>
      </c>
      <c r="E38" s="21" t="s">
        <v>126</v>
      </c>
      <c r="F38" s="21" t="s">
        <v>127</v>
      </c>
      <c r="G38" s="21" t="s">
        <v>140</v>
      </c>
      <c r="H38" s="21">
        <v>1</v>
      </c>
      <c r="I38" s="21" t="s">
        <v>141</v>
      </c>
      <c r="J38" s="21" t="s">
        <v>130</v>
      </c>
      <c r="K38" s="21" t="s">
        <v>159</v>
      </c>
      <c r="L38" s="21" t="s">
        <v>133</v>
      </c>
      <c r="M38" s="23" t="s">
        <v>175</v>
      </c>
      <c r="N38" s="15">
        <v>12</v>
      </c>
      <c r="O38" s="16"/>
      <c r="P38" s="16"/>
      <c r="Q38" s="16"/>
      <c r="R38" s="16">
        <v>1</v>
      </c>
    </row>
    <row r="39" spans="1:18" ht="20" x14ac:dyDescent="0.2">
      <c r="A39" s="24" t="s">
        <v>160</v>
      </c>
      <c r="B39" s="24">
        <v>13</v>
      </c>
      <c r="C39" s="24">
        <v>51</v>
      </c>
      <c r="D39" s="24" t="s">
        <v>125</v>
      </c>
      <c r="E39" s="24" t="s">
        <v>126</v>
      </c>
      <c r="F39" s="24" t="s">
        <v>127</v>
      </c>
      <c r="G39" s="24" t="s">
        <v>128</v>
      </c>
      <c r="H39" s="24">
        <v>1</v>
      </c>
      <c r="I39" s="24" t="s">
        <v>129</v>
      </c>
      <c r="J39" s="24" t="s">
        <v>130</v>
      </c>
      <c r="K39" s="24" t="s">
        <v>161</v>
      </c>
      <c r="L39" s="24" t="s">
        <v>132</v>
      </c>
      <c r="M39" s="25" t="s">
        <v>147</v>
      </c>
      <c r="N39" s="17">
        <v>13</v>
      </c>
      <c r="O39" s="18"/>
      <c r="P39" s="18"/>
      <c r="Q39" s="18"/>
      <c r="R39" s="18">
        <v>1</v>
      </c>
    </row>
    <row r="40" spans="1:18" ht="20" x14ac:dyDescent="0.2">
      <c r="A40" s="21" t="s">
        <v>162</v>
      </c>
      <c r="B40" s="21">
        <v>14</v>
      </c>
      <c r="C40" s="21">
        <v>68</v>
      </c>
      <c r="D40" s="21" t="s">
        <v>135</v>
      </c>
      <c r="E40" s="21" t="s">
        <v>126</v>
      </c>
      <c r="F40" s="21" t="s">
        <v>127</v>
      </c>
      <c r="G40" s="21" t="s">
        <v>128</v>
      </c>
      <c r="H40" s="21">
        <v>1</v>
      </c>
      <c r="I40" s="21" t="s">
        <v>129</v>
      </c>
      <c r="J40" s="21" t="s">
        <v>130</v>
      </c>
      <c r="K40" s="21" t="s">
        <v>163</v>
      </c>
      <c r="L40" s="21" t="s">
        <v>132</v>
      </c>
      <c r="M40" s="23" t="s">
        <v>147</v>
      </c>
      <c r="N40" s="15">
        <v>14</v>
      </c>
      <c r="O40" s="16"/>
      <c r="P40" s="16"/>
      <c r="Q40" s="16"/>
      <c r="R40" s="16">
        <v>1</v>
      </c>
    </row>
    <row r="41" spans="1:18" ht="20" x14ac:dyDescent="0.2">
      <c r="A41" s="21" t="s">
        <v>164</v>
      </c>
      <c r="B41" s="21">
        <v>15</v>
      </c>
      <c r="C41" s="21">
        <v>50</v>
      </c>
      <c r="D41" s="21" t="s">
        <v>125</v>
      </c>
      <c r="E41" s="21" t="s">
        <v>126</v>
      </c>
      <c r="F41" s="21" t="s">
        <v>127</v>
      </c>
      <c r="G41" s="21" t="s">
        <v>128</v>
      </c>
      <c r="H41" s="21">
        <v>1</v>
      </c>
      <c r="I41" s="21" t="s">
        <v>129</v>
      </c>
      <c r="J41" s="21" t="s">
        <v>130</v>
      </c>
      <c r="K41" s="21" t="s">
        <v>165</v>
      </c>
      <c r="L41" s="21" t="s">
        <v>132</v>
      </c>
      <c r="M41" s="23" t="s">
        <v>132</v>
      </c>
      <c r="N41" s="15">
        <v>15</v>
      </c>
      <c r="O41" s="16">
        <v>1</v>
      </c>
      <c r="P41" s="16"/>
      <c r="Q41" s="16"/>
      <c r="R41" s="16"/>
    </row>
    <row r="42" spans="1:18" ht="20" x14ac:dyDescent="0.2">
      <c r="A42" s="21" t="s">
        <v>166</v>
      </c>
      <c r="B42" s="21">
        <v>16</v>
      </c>
      <c r="C42" s="21">
        <v>47</v>
      </c>
      <c r="D42" s="21" t="s">
        <v>125</v>
      </c>
      <c r="E42" s="21" t="s">
        <v>126</v>
      </c>
      <c r="F42" s="21" t="s">
        <v>127</v>
      </c>
      <c r="G42" s="21" t="s">
        <v>128</v>
      </c>
      <c r="H42" s="21">
        <v>1</v>
      </c>
      <c r="I42" s="21" t="s">
        <v>129</v>
      </c>
      <c r="J42" s="21" t="s">
        <v>130</v>
      </c>
      <c r="K42" s="21" t="s">
        <v>167</v>
      </c>
      <c r="L42" s="21" t="s">
        <v>168</v>
      </c>
      <c r="M42" s="23" t="s">
        <v>168</v>
      </c>
      <c r="N42" s="15">
        <v>16</v>
      </c>
      <c r="O42" s="16"/>
      <c r="P42" s="16"/>
      <c r="Q42" s="16"/>
      <c r="R42" s="16"/>
    </row>
    <row r="43" spans="1:18" ht="20" x14ac:dyDescent="0.2">
      <c r="A43" s="21" t="s">
        <v>169</v>
      </c>
      <c r="B43" s="21">
        <v>17</v>
      </c>
      <c r="C43" s="21">
        <v>60</v>
      </c>
      <c r="D43" s="21" t="s">
        <v>125</v>
      </c>
      <c r="E43" s="21" t="s">
        <v>126</v>
      </c>
      <c r="F43" s="21" t="s">
        <v>127</v>
      </c>
      <c r="G43" s="21" t="s">
        <v>140</v>
      </c>
      <c r="H43" s="21">
        <v>1</v>
      </c>
      <c r="I43" s="21" t="s">
        <v>141</v>
      </c>
      <c r="J43" s="21" t="s">
        <v>130</v>
      </c>
      <c r="K43" s="21" t="s">
        <v>170</v>
      </c>
      <c r="L43" s="21" t="s">
        <v>133</v>
      </c>
      <c r="M43" s="23" t="s">
        <v>132</v>
      </c>
      <c r="N43" s="15">
        <v>17</v>
      </c>
      <c r="O43" s="16">
        <v>1</v>
      </c>
      <c r="P43" s="16"/>
      <c r="Q43" s="16"/>
      <c r="R43" s="16"/>
    </row>
    <row r="44" spans="1:18" ht="20" x14ac:dyDescent="0.2">
      <c r="A44" s="21" t="s">
        <v>171</v>
      </c>
      <c r="B44" s="21">
        <v>18</v>
      </c>
      <c r="C44" s="21">
        <v>36</v>
      </c>
      <c r="D44" s="21" t="s">
        <v>125</v>
      </c>
      <c r="E44" s="21" t="s">
        <v>126</v>
      </c>
      <c r="F44" s="21" t="s">
        <v>127</v>
      </c>
      <c r="G44" s="21" t="s">
        <v>128</v>
      </c>
      <c r="H44" s="21">
        <v>1</v>
      </c>
      <c r="I44" s="21" t="s">
        <v>129</v>
      </c>
      <c r="J44" s="21" t="s">
        <v>130</v>
      </c>
      <c r="K44" s="21" t="s">
        <v>172</v>
      </c>
      <c r="L44" s="21" t="s">
        <v>133</v>
      </c>
      <c r="M44" s="23" t="s">
        <v>175</v>
      </c>
      <c r="N44" s="15">
        <v>18</v>
      </c>
      <c r="O44" s="16"/>
      <c r="P44" s="16"/>
      <c r="Q44" s="16"/>
      <c r="R44" s="16">
        <v>1</v>
      </c>
    </row>
    <row r="45" spans="1:18" ht="20" x14ac:dyDescent="0.2">
      <c r="A45" s="21" t="s">
        <v>173</v>
      </c>
      <c r="B45" s="21">
        <v>19</v>
      </c>
      <c r="C45" s="21">
        <v>52</v>
      </c>
      <c r="D45" s="21" t="s">
        <v>125</v>
      </c>
      <c r="E45" s="21" t="s">
        <v>126</v>
      </c>
      <c r="F45" s="21" t="s">
        <v>127</v>
      </c>
      <c r="G45" s="21" t="s">
        <v>128</v>
      </c>
      <c r="H45" s="21">
        <v>1</v>
      </c>
      <c r="I45" s="21" t="s">
        <v>129</v>
      </c>
      <c r="J45" s="21" t="s">
        <v>130</v>
      </c>
      <c r="K45" s="21" t="s">
        <v>174</v>
      </c>
      <c r="L45" s="21" t="s">
        <v>133</v>
      </c>
      <c r="M45" s="23" t="s">
        <v>133</v>
      </c>
      <c r="N45" s="15">
        <v>19</v>
      </c>
      <c r="O45" s="16">
        <v>1</v>
      </c>
      <c r="P45" s="16"/>
      <c r="Q45" s="16"/>
      <c r="R45" s="16"/>
    </row>
    <row r="46" spans="1:18" ht="20" x14ac:dyDescent="0.2">
      <c r="A46" s="21" t="s">
        <v>176</v>
      </c>
      <c r="B46" s="21">
        <v>20</v>
      </c>
      <c r="C46" s="21">
        <v>60</v>
      </c>
      <c r="D46" s="21" t="s">
        <v>125</v>
      </c>
      <c r="E46" s="21" t="s">
        <v>126</v>
      </c>
      <c r="F46" s="21" t="s">
        <v>127</v>
      </c>
      <c r="G46" s="21" t="s">
        <v>140</v>
      </c>
      <c r="H46" s="21">
        <v>2</v>
      </c>
      <c r="I46" s="21" t="s">
        <v>141</v>
      </c>
      <c r="J46" s="21" t="s">
        <v>130</v>
      </c>
      <c r="K46" s="21" t="s">
        <v>177</v>
      </c>
      <c r="L46" s="21" t="s">
        <v>133</v>
      </c>
      <c r="M46" s="23" t="s">
        <v>133</v>
      </c>
      <c r="N46" s="15">
        <v>20</v>
      </c>
      <c r="O46" s="16">
        <v>1</v>
      </c>
      <c r="P46" s="16"/>
      <c r="Q46" s="16"/>
      <c r="R46" s="16"/>
    </row>
    <row r="47" spans="1:18" ht="20" x14ac:dyDescent="0.2">
      <c r="A47" s="21" t="s">
        <v>178</v>
      </c>
      <c r="B47" s="21">
        <v>21</v>
      </c>
      <c r="C47" s="21">
        <v>48</v>
      </c>
      <c r="D47" s="21" t="s">
        <v>125</v>
      </c>
      <c r="E47" s="21" t="s">
        <v>126</v>
      </c>
      <c r="F47" s="21" t="s">
        <v>127</v>
      </c>
      <c r="G47" s="21" t="s">
        <v>128</v>
      </c>
      <c r="H47" s="21">
        <v>1</v>
      </c>
      <c r="I47" s="21" t="s">
        <v>129</v>
      </c>
      <c r="J47" s="21" t="s">
        <v>130</v>
      </c>
      <c r="K47" s="21" t="s">
        <v>179</v>
      </c>
      <c r="L47" s="21" t="s">
        <v>147</v>
      </c>
      <c r="M47" s="23" t="s">
        <v>175</v>
      </c>
      <c r="N47" s="15">
        <v>21</v>
      </c>
      <c r="O47" s="16"/>
      <c r="P47" s="16">
        <v>1</v>
      </c>
      <c r="Q47" s="16"/>
      <c r="R47" s="16"/>
    </row>
    <row r="48" spans="1:18" ht="20" x14ac:dyDescent="0.2">
      <c r="A48" s="21" t="s">
        <v>180</v>
      </c>
      <c r="B48" s="21">
        <v>22</v>
      </c>
      <c r="C48" s="21">
        <v>63</v>
      </c>
      <c r="D48" s="21" t="s">
        <v>125</v>
      </c>
      <c r="E48" s="21" t="s">
        <v>126</v>
      </c>
      <c r="F48" s="21" t="s">
        <v>127</v>
      </c>
      <c r="G48" s="21" t="s">
        <v>140</v>
      </c>
      <c r="H48" s="21">
        <v>1</v>
      </c>
      <c r="I48" s="21" t="s">
        <v>141</v>
      </c>
      <c r="J48" s="21" t="s">
        <v>130</v>
      </c>
      <c r="K48" s="21" t="s">
        <v>181</v>
      </c>
      <c r="L48" s="21" t="s">
        <v>132</v>
      </c>
      <c r="M48" s="23" t="s">
        <v>175</v>
      </c>
      <c r="N48" s="15">
        <v>22</v>
      </c>
      <c r="O48" s="16"/>
      <c r="P48" s="16"/>
      <c r="Q48" s="16"/>
      <c r="R48" s="16">
        <v>1</v>
      </c>
    </row>
    <row r="49" spans="1:18" ht="20" x14ac:dyDescent="0.2">
      <c r="A49" s="21" t="s">
        <v>182</v>
      </c>
      <c r="B49" s="21">
        <v>23</v>
      </c>
      <c r="C49" s="21">
        <v>51</v>
      </c>
      <c r="D49" s="21" t="s">
        <v>125</v>
      </c>
      <c r="E49" s="21" t="s">
        <v>126</v>
      </c>
      <c r="F49" s="21" t="s">
        <v>127</v>
      </c>
      <c r="G49" s="21" t="s">
        <v>140</v>
      </c>
      <c r="H49" s="21">
        <v>1</v>
      </c>
      <c r="I49" s="21" t="s">
        <v>141</v>
      </c>
      <c r="J49" s="21" t="s">
        <v>130</v>
      </c>
      <c r="K49" s="21" t="s">
        <v>183</v>
      </c>
      <c r="L49" s="21" t="s">
        <v>175</v>
      </c>
      <c r="M49" s="23" t="s">
        <v>175</v>
      </c>
      <c r="N49" s="15">
        <v>23</v>
      </c>
      <c r="O49" s="16"/>
      <c r="P49" s="16">
        <v>1</v>
      </c>
      <c r="Q49" s="16"/>
      <c r="R49" s="16"/>
    </row>
    <row r="50" spans="1:18" ht="20" x14ac:dyDescent="0.2">
      <c r="A50" s="21" t="s">
        <v>184</v>
      </c>
      <c r="B50" s="21">
        <v>24</v>
      </c>
      <c r="C50" s="21">
        <v>64</v>
      </c>
      <c r="D50" s="21" t="s">
        <v>135</v>
      </c>
      <c r="E50" s="21" t="s">
        <v>126</v>
      </c>
      <c r="F50" s="21" t="s">
        <v>127</v>
      </c>
      <c r="G50" s="21" t="s">
        <v>128</v>
      </c>
      <c r="H50" s="21">
        <v>1</v>
      </c>
      <c r="I50" s="21" t="s">
        <v>129</v>
      </c>
      <c r="J50" s="21" t="s">
        <v>130</v>
      </c>
      <c r="K50" s="21" t="s">
        <v>185</v>
      </c>
      <c r="L50" s="21" t="s">
        <v>133</v>
      </c>
      <c r="M50" s="23" t="s">
        <v>175</v>
      </c>
      <c r="N50" s="15">
        <v>24</v>
      </c>
      <c r="O50" s="16"/>
      <c r="P50" s="16"/>
      <c r="Q50" s="16"/>
      <c r="R50" s="16">
        <v>1</v>
      </c>
    </row>
    <row r="51" spans="1:18" ht="20" x14ac:dyDescent="0.2">
      <c r="A51" s="24" t="s">
        <v>186</v>
      </c>
      <c r="B51" s="24">
        <v>25</v>
      </c>
      <c r="C51" s="24">
        <v>66</v>
      </c>
      <c r="D51" s="24" t="s">
        <v>125</v>
      </c>
      <c r="E51" s="24" t="s">
        <v>126</v>
      </c>
      <c r="F51" s="24" t="s">
        <v>127</v>
      </c>
      <c r="G51" s="24" t="s">
        <v>128</v>
      </c>
      <c r="H51" s="24">
        <v>1</v>
      </c>
      <c r="I51" s="24" t="s">
        <v>129</v>
      </c>
      <c r="J51" s="24" t="s">
        <v>130</v>
      </c>
      <c r="K51" s="24" t="s">
        <v>187</v>
      </c>
      <c r="L51" s="24" t="s">
        <v>147</v>
      </c>
      <c r="M51" s="25" t="s">
        <v>132</v>
      </c>
      <c r="N51" s="17">
        <v>25</v>
      </c>
      <c r="O51" s="18"/>
      <c r="P51" s="18"/>
      <c r="Q51" s="18">
        <v>1</v>
      </c>
      <c r="R51" s="18"/>
    </row>
    <row r="52" spans="1:18" ht="20" x14ac:dyDescent="0.2">
      <c r="A52" s="47" t="s">
        <v>188</v>
      </c>
      <c r="B52" s="47">
        <v>26</v>
      </c>
      <c r="C52" s="47">
        <v>33</v>
      </c>
      <c r="D52" s="47" t="s">
        <v>135</v>
      </c>
      <c r="E52" s="47" t="s">
        <v>126</v>
      </c>
      <c r="F52" s="47" t="s">
        <v>127</v>
      </c>
      <c r="G52" s="47" t="s">
        <v>128</v>
      </c>
      <c r="H52" s="47">
        <v>1</v>
      </c>
      <c r="I52" s="47" t="s">
        <v>129</v>
      </c>
      <c r="J52" s="47" t="s">
        <v>130</v>
      </c>
      <c r="K52" s="47" t="s">
        <v>189</v>
      </c>
      <c r="L52" s="47" t="s">
        <v>132</v>
      </c>
      <c r="M52" s="48" t="s">
        <v>133</v>
      </c>
      <c r="N52" s="43">
        <v>26</v>
      </c>
      <c r="O52" s="44">
        <v>1</v>
      </c>
      <c r="P52" s="44"/>
      <c r="Q52" s="44"/>
      <c r="R52" s="44"/>
    </row>
    <row r="53" spans="1:18" ht="20" x14ac:dyDescent="0.2">
      <c r="A53" s="21" t="s">
        <v>190</v>
      </c>
      <c r="B53" s="21">
        <v>27</v>
      </c>
      <c r="C53" s="21">
        <v>62</v>
      </c>
      <c r="D53" s="21" t="s">
        <v>125</v>
      </c>
      <c r="E53" s="21" t="s">
        <v>126</v>
      </c>
      <c r="F53" s="21" t="s">
        <v>127</v>
      </c>
      <c r="G53" s="21" t="s">
        <v>128</v>
      </c>
      <c r="H53" s="21">
        <v>1</v>
      </c>
      <c r="I53" s="21" t="s">
        <v>129</v>
      </c>
      <c r="J53" s="21" t="s">
        <v>130</v>
      </c>
      <c r="K53" s="21" t="s">
        <v>191</v>
      </c>
      <c r="L53" s="21" t="s">
        <v>132</v>
      </c>
      <c r="M53" s="23" t="s">
        <v>132</v>
      </c>
      <c r="N53" s="15">
        <v>27</v>
      </c>
      <c r="O53" s="16">
        <v>1</v>
      </c>
      <c r="P53" s="16"/>
      <c r="Q53" s="16"/>
      <c r="R53" s="16"/>
    </row>
    <row r="54" spans="1:18" ht="20" x14ac:dyDescent="0.2">
      <c r="A54" s="21" t="s">
        <v>192</v>
      </c>
      <c r="B54" s="21">
        <v>28</v>
      </c>
      <c r="C54" s="21">
        <v>50</v>
      </c>
      <c r="D54" s="21" t="s">
        <v>125</v>
      </c>
      <c r="E54" s="21" t="s">
        <v>126</v>
      </c>
      <c r="F54" s="21" t="s">
        <v>127</v>
      </c>
      <c r="G54" s="21" t="s">
        <v>128</v>
      </c>
      <c r="H54" s="21">
        <v>1</v>
      </c>
      <c r="I54" s="21" t="s">
        <v>129</v>
      </c>
      <c r="J54" s="21" t="s">
        <v>130</v>
      </c>
      <c r="K54" s="21" t="s">
        <v>193</v>
      </c>
      <c r="L54" s="21" t="s">
        <v>147</v>
      </c>
      <c r="M54" s="23" t="s">
        <v>133</v>
      </c>
      <c r="N54" s="15">
        <v>28</v>
      </c>
      <c r="O54" s="16"/>
      <c r="P54" s="16"/>
      <c r="Q54" s="16">
        <v>1</v>
      </c>
      <c r="R54" s="16"/>
    </row>
    <row r="55" spans="1:18" ht="20" x14ac:dyDescent="0.2">
      <c r="A55" s="21" t="s">
        <v>194</v>
      </c>
      <c r="B55" s="21">
        <v>29</v>
      </c>
      <c r="C55" s="21">
        <v>49</v>
      </c>
      <c r="D55" s="21" t="s">
        <v>135</v>
      </c>
      <c r="E55" s="21" t="s">
        <v>126</v>
      </c>
      <c r="F55" s="21" t="s">
        <v>127</v>
      </c>
      <c r="G55" s="21" t="s">
        <v>128</v>
      </c>
      <c r="H55" s="21">
        <v>1</v>
      </c>
      <c r="I55" s="21" t="s">
        <v>129</v>
      </c>
      <c r="J55" s="21" t="s">
        <v>130</v>
      </c>
      <c r="K55" s="21" t="s">
        <v>195</v>
      </c>
      <c r="L55" s="21" t="s">
        <v>132</v>
      </c>
      <c r="M55" s="23" t="s">
        <v>133</v>
      </c>
      <c r="N55" s="15">
        <v>29</v>
      </c>
      <c r="O55" s="16">
        <v>1</v>
      </c>
      <c r="P55" s="16"/>
      <c r="Q55" s="16"/>
      <c r="R55" s="16"/>
    </row>
    <row r="56" spans="1:18" ht="20" x14ac:dyDescent="0.2">
      <c r="A56" s="21" t="s">
        <v>196</v>
      </c>
      <c r="B56" s="21">
        <v>30</v>
      </c>
      <c r="C56" s="21">
        <v>57</v>
      </c>
      <c r="D56" s="21" t="s">
        <v>135</v>
      </c>
      <c r="E56" s="21" t="s">
        <v>126</v>
      </c>
      <c r="F56" s="21" t="s">
        <v>197</v>
      </c>
      <c r="G56" s="21" t="s">
        <v>128</v>
      </c>
      <c r="H56" s="21" t="s">
        <v>198</v>
      </c>
      <c r="I56" s="21" t="s">
        <v>129</v>
      </c>
      <c r="J56" s="21" t="s">
        <v>130</v>
      </c>
      <c r="K56" s="21" t="s">
        <v>199</v>
      </c>
      <c r="L56" s="21" t="s">
        <v>168</v>
      </c>
      <c r="M56" s="23" t="s">
        <v>168</v>
      </c>
      <c r="N56" s="15">
        <v>30</v>
      </c>
      <c r="O56" s="16"/>
      <c r="P56" s="16"/>
      <c r="Q56" s="16"/>
      <c r="R56" s="16"/>
    </row>
    <row r="57" spans="1:18" ht="20" x14ac:dyDescent="0.2">
      <c r="A57" s="21" t="s">
        <v>200</v>
      </c>
      <c r="B57" s="21">
        <v>31</v>
      </c>
      <c r="C57" s="21">
        <v>58</v>
      </c>
      <c r="D57" s="21" t="s">
        <v>135</v>
      </c>
      <c r="E57" s="21" t="s">
        <v>126</v>
      </c>
      <c r="F57" s="21" t="s">
        <v>127</v>
      </c>
      <c r="G57" s="21" t="s">
        <v>128</v>
      </c>
      <c r="H57" s="21">
        <v>1</v>
      </c>
      <c r="I57" s="21" t="s">
        <v>129</v>
      </c>
      <c r="J57" s="21" t="s">
        <v>130</v>
      </c>
      <c r="K57" s="21" t="s">
        <v>201</v>
      </c>
      <c r="L57" s="21" t="s">
        <v>132</v>
      </c>
      <c r="M57" s="23" t="s">
        <v>133</v>
      </c>
      <c r="N57" s="15">
        <v>31</v>
      </c>
      <c r="O57" s="16">
        <v>1</v>
      </c>
      <c r="P57" s="16"/>
      <c r="Q57" s="16"/>
      <c r="R57" s="16"/>
    </row>
    <row r="58" spans="1:18" ht="20" x14ac:dyDescent="0.2">
      <c r="A58" s="21" t="s">
        <v>202</v>
      </c>
      <c r="B58" s="21">
        <v>32</v>
      </c>
      <c r="C58" s="21">
        <v>72</v>
      </c>
      <c r="D58" s="21" t="s">
        <v>125</v>
      </c>
      <c r="E58" s="21" t="s">
        <v>126</v>
      </c>
      <c r="F58" s="21" t="s">
        <v>127</v>
      </c>
      <c r="G58" s="21" t="s">
        <v>128</v>
      </c>
      <c r="H58" s="21">
        <v>1</v>
      </c>
      <c r="I58" s="21" t="s">
        <v>129</v>
      </c>
      <c r="J58" s="21" t="s">
        <v>130</v>
      </c>
      <c r="K58" s="21" t="s">
        <v>203</v>
      </c>
      <c r="L58" s="21" t="s">
        <v>132</v>
      </c>
      <c r="M58" s="23" t="s">
        <v>133</v>
      </c>
      <c r="N58" s="15">
        <v>32</v>
      </c>
      <c r="O58" s="16">
        <v>1</v>
      </c>
      <c r="P58" s="16"/>
      <c r="Q58" s="16"/>
      <c r="R58" s="16"/>
    </row>
    <row r="59" spans="1:18" ht="20" x14ac:dyDescent="0.2">
      <c r="A59" s="21" t="s">
        <v>204</v>
      </c>
      <c r="B59" s="21">
        <v>33</v>
      </c>
      <c r="C59" s="21">
        <v>38</v>
      </c>
      <c r="D59" s="21" t="s">
        <v>125</v>
      </c>
      <c r="E59" s="21" t="s">
        <v>126</v>
      </c>
      <c r="F59" s="21" t="s">
        <v>127</v>
      </c>
      <c r="G59" s="21" t="s">
        <v>128</v>
      </c>
      <c r="H59" s="21" t="s">
        <v>198</v>
      </c>
      <c r="I59" s="21" t="s">
        <v>129</v>
      </c>
      <c r="J59" s="21" t="s">
        <v>130</v>
      </c>
      <c r="K59" s="21" t="s">
        <v>205</v>
      </c>
      <c r="L59" s="21" t="s">
        <v>132</v>
      </c>
      <c r="M59" s="23" t="s">
        <v>133</v>
      </c>
      <c r="N59" s="15">
        <v>33</v>
      </c>
      <c r="O59" s="16">
        <v>1</v>
      </c>
      <c r="P59" s="16"/>
      <c r="Q59" s="16"/>
      <c r="R59" s="16"/>
    </row>
    <row r="60" spans="1:18" ht="20" x14ac:dyDescent="0.2">
      <c r="A60" s="21" t="s">
        <v>206</v>
      </c>
      <c r="B60" s="21">
        <v>34</v>
      </c>
      <c r="C60" s="21">
        <v>82</v>
      </c>
      <c r="D60" s="21" t="s">
        <v>125</v>
      </c>
      <c r="E60" s="21" t="s">
        <v>126</v>
      </c>
      <c r="F60" s="21" t="s">
        <v>127</v>
      </c>
      <c r="G60" s="21" t="s">
        <v>128</v>
      </c>
      <c r="H60" s="21">
        <v>1</v>
      </c>
      <c r="I60" s="21" t="s">
        <v>129</v>
      </c>
      <c r="J60" s="21" t="s">
        <v>130</v>
      </c>
      <c r="K60" s="21" t="s">
        <v>207</v>
      </c>
      <c r="L60" s="21" t="s">
        <v>132</v>
      </c>
      <c r="M60" s="23" t="s">
        <v>175</v>
      </c>
      <c r="N60" s="15">
        <v>34</v>
      </c>
      <c r="O60" s="16"/>
      <c r="P60" s="16"/>
      <c r="Q60" s="16"/>
      <c r="R60" s="16">
        <v>1</v>
      </c>
    </row>
    <row r="61" spans="1:18" ht="20" x14ac:dyDescent="0.2">
      <c r="A61" s="21" t="s">
        <v>208</v>
      </c>
      <c r="B61" s="21">
        <v>35</v>
      </c>
      <c r="C61" s="21">
        <v>50</v>
      </c>
      <c r="D61" s="21" t="s">
        <v>125</v>
      </c>
      <c r="E61" s="21" t="s">
        <v>126</v>
      </c>
      <c r="F61" s="21" t="s">
        <v>127</v>
      </c>
      <c r="G61" s="21" t="s">
        <v>140</v>
      </c>
      <c r="H61" s="21">
        <v>1</v>
      </c>
      <c r="I61" s="21" t="s">
        <v>141</v>
      </c>
      <c r="J61" s="21" t="s">
        <v>130</v>
      </c>
      <c r="K61" s="21" t="s">
        <v>209</v>
      </c>
      <c r="L61" s="21" t="s">
        <v>132</v>
      </c>
      <c r="M61" s="23" t="s">
        <v>133</v>
      </c>
      <c r="N61" s="15">
        <v>35</v>
      </c>
      <c r="O61" s="16">
        <v>1</v>
      </c>
      <c r="P61" s="16"/>
      <c r="Q61" s="16"/>
      <c r="R61" s="16"/>
    </row>
    <row r="62" spans="1:18" ht="20" x14ac:dyDescent="0.2">
      <c r="A62" s="21" t="s">
        <v>210</v>
      </c>
      <c r="B62" s="21">
        <v>36</v>
      </c>
      <c r="C62" s="21">
        <v>64</v>
      </c>
      <c r="D62" s="21" t="s">
        <v>135</v>
      </c>
      <c r="E62" s="21" t="s">
        <v>126</v>
      </c>
      <c r="F62" s="21" t="s">
        <v>127</v>
      </c>
      <c r="G62" s="21" t="s">
        <v>128</v>
      </c>
      <c r="H62" s="21">
        <v>1</v>
      </c>
      <c r="I62" s="21" t="s">
        <v>129</v>
      </c>
      <c r="J62" s="21" t="s">
        <v>130</v>
      </c>
      <c r="K62" s="21" t="s">
        <v>211</v>
      </c>
      <c r="L62" s="21" t="s">
        <v>133</v>
      </c>
      <c r="M62" s="23" t="s">
        <v>175</v>
      </c>
      <c r="N62" s="15">
        <v>36</v>
      </c>
      <c r="O62" s="16"/>
      <c r="P62" s="16"/>
      <c r="Q62" s="16"/>
      <c r="R62" s="16">
        <v>1</v>
      </c>
    </row>
    <row r="63" spans="1:18" ht="20" x14ac:dyDescent="0.2">
      <c r="A63" s="24" t="s">
        <v>212</v>
      </c>
      <c r="B63" s="24">
        <v>37</v>
      </c>
      <c r="C63" s="24">
        <v>73</v>
      </c>
      <c r="D63" s="24" t="s">
        <v>125</v>
      </c>
      <c r="E63" s="24" t="s">
        <v>126</v>
      </c>
      <c r="F63" s="24" t="s">
        <v>127</v>
      </c>
      <c r="G63" s="24" t="s">
        <v>128</v>
      </c>
      <c r="H63" s="24">
        <v>1</v>
      </c>
      <c r="I63" s="24" t="s">
        <v>129</v>
      </c>
      <c r="J63" s="24" t="s">
        <v>130</v>
      </c>
      <c r="K63" s="24" t="s">
        <v>213</v>
      </c>
      <c r="L63" s="24" t="s">
        <v>132</v>
      </c>
      <c r="M63" s="25" t="s">
        <v>132</v>
      </c>
      <c r="N63" s="17">
        <v>37</v>
      </c>
      <c r="O63" s="18">
        <v>1</v>
      </c>
      <c r="P63" s="18"/>
      <c r="Q63" s="18"/>
      <c r="R63" s="18"/>
    </row>
    <row r="64" spans="1:18" ht="20" x14ac:dyDescent="0.2">
      <c r="A64" s="21" t="s">
        <v>214</v>
      </c>
      <c r="B64" s="21">
        <v>38</v>
      </c>
      <c r="C64" s="21">
        <v>45</v>
      </c>
      <c r="D64" s="21" t="s">
        <v>135</v>
      </c>
      <c r="E64" s="21" t="s">
        <v>126</v>
      </c>
      <c r="F64" s="21" t="s">
        <v>127</v>
      </c>
      <c r="G64" s="21" t="s">
        <v>128</v>
      </c>
      <c r="H64" s="21">
        <v>1</v>
      </c>
      <c r="I64" s="21" t="s">
        <v>129</v>
      </c>
      <c r="J64" s="21" t="s">
        <v>130</v>
      </c>
      <c r="K64" s="21" t="s">
        <v>215</v>
      </c>
      <c r="L64" s="21" t="s">
        <v>175</v>
      </c>
      <c r="M64" s="23" t="s">
        <v>133</v>
      </c>
      <c r="N64" s="15">
        <v>38</v>
      </c>
      <c r="O64" s="16"/>
      <c r="P64" s="16"/>
      <c r="Q64" s="16">
        <v>1</v>
      </c>
      <c r="R64" s="16"/>
    </row>
    <row r="65" spans="1:18" ht="20" x14ac:dyDescent="0.2">
      <c r="A65" s="21" t="s">
        <v>216</v>
      </c>
      <c r="B65" s="21">
        <v>39</v>
      </c>
      <c r="C65" s="21">
        <v>61</v>
      </c>
      <c r="D65" s="21" t="s">
        <v>125</v>
      </c>
      <c r="E65" s="21" t="s">
        <v>126</v>
      </c>
      <c r="F65" s="21" t="s">
        <v>127</v>
      </c>
      <c r="G65" s="21" t="s">
        <v>217</v>
      </c>
      <c r="H65" s="21">
        <v>1</v>
      </c>
      <c r="I65" s="21" t="s">
        <v>218</v>
      </c>
      <c r="J65" s="21" t="s">
        <v>130</v>
      </c>
      <c r="K65" s="21" t="s">
        <v>219</v>
      </c>
      <c r="L65" s="21" t="s">
        <v>132</v>
      </c>
      <c r="M65" s="23" t="s">
        <v>133</v>
      </c>
      <c r="N65" s="15">
        <v>39</v>
      </c>
      <c r="O65" s="16">
        <v>1</v>
      </c>
      <c r="P65" s="16"/>
      <c r="Q65" s="16"/>
      <c r="R65" s="16"/>
    </row>
    <row r="66" spans="1:18" ht="20" x14ac:dyDescent="0.2">
      <c r="A66" s="21" t="s">
        <v>220</v>
      </c>
      <c r="B66" s="21">
        <v>40</v>
      </c>
      <c r="C66" s="21">
        <v>51</v>
      </c>
      <c r="D66" s="21" t="s">
        <v>125</v>
      </c>
      <c r="E66" s="21" t="s">
        <v>126</v>
      </c>
      <c r="F66" s="21" t="s">
        <v>127</v>
      </c>
      <c r="G66" s="21" t="s">
        <v>140</v>
      </c>
      <c r="H66" s="21">
        <v>1</v>
      </c>
      <c r="I66" s="21" t="s">
        <v>141</v>
      </c>
      <c r="J66" s="21" t="s">
        <v>130</v>
      </c>
      <c r="K66" s="21" t="s">
        <v>221</v>
      </c>
      <c r="L66" s="21" t="s">
        <v>132</v>
      </c>
      <c r="M66" s="23" t="s">
        <v>133</v>
      </c>
      <c r="N66" s="15">
        <v>40</v>
      </c>
      <c r="O66" s="16">
        <v>1</v>
      </c>
      <c r="P66" s="16"/>
      <c r="Q66" s="16"/>
      <c r="R66" s="16"/>
    </row>
    <row r="67" spans="1:18" ht="20" x14ac:dyDescent="0.2">
      <c r="A67" s="21" t="s">
        <v>222</v>
      </c>
      <c r="B67" s="21">
        <v>41</v>
      </c>
      <c r="C67" s="21">
        <v>67</v>
      </c>
      <c r="D67" s="21" t="s">
        <v>125</v>
      </c>
      <c r="E67" s="21" t="s">
        <v>126</v>
      </c>
      <c r="F67" s="21" t="s">
        <v>127</v>
      </c>
      <c r="G67" s="21" t="s">
        <v>128</v>
      </c>
      <c r="H67" s="21">
        <v>1</v>
      </c>
      <c r="I67" s="21" t="s">
        <v>129</v>
      </c>
      <c r="J67" s="21" t="s">
        <v>130</v>
      </c>
      <c r="K67" s="21" t="s">
        <v>223</v>
      </c>
      <c r="L67" s="21" t="s">
        <v>175</v>
      </c>
      <c r="M67" s="23" t="s">
        <v>133</v>
      </c>
      <c r="N67" s="15">
        <v>41</v>
      </c>
      <c r="O67" s="16"/>
      <c r="P67" s="16"/>
      <c r="Q67" s="16">
        <v>1</v>
      </c>
      <c r="R67" s="16"/>
    </row>
    <row r="68" spans="1:18" ht="20" x14ac:dyDescent="0.2">
      <c r="A68" s="21" t="s">
        <v>224</v>
      </c>
      <c r="B68" s="21">
        <v>42</v>
      </c>
      <c r="C68" s="21">
        <v>57</v>
      </c>
      <c r="D68" s="21" t="s">
        <v>125</v>
      </c>
      <c r="E68" s="21" t="s">
        <v>126</v>
      </c>
      <c r="F68" s="21" t="s">
        <v>127</v>
      </c>
      <c r="G68" s="21" t="s">
        <v>128</v>
      </c>
      <c r="H68" s="21">
        <v>1</v>
      </c>
      <c r="I68" s="21" t="s">
        <v>129</v>
      </c>
      <c r="J68" s="21" t="s">
        <v>130</v>
      </c>
      <c r="K68" s="21" t="s">
        <v>225</v>
      </c>
      <c r="L68" s="21" t="s">
        <v>175</v>
      </c>
      <c r="M68" s="23" t="s">
        <v>133</v>
      </c>
      <c r="N68" s="15">
        <v>42</v>
      </c>
      <c r="O68" s="16"/>
      <c r="P68" s="16"/>
      <c r="Q68" s="16">
        <v>1</v>
      </c>
      <c r="R68" s="16"/>
    </row>
    <row r="69" spans="1:18" ht="20" x14ac:dyDescent="0.2">
      <c r="A69" s="21" t="s">
        <v>226</v>
      </c>
      <c r="B69" s="21">
        <v>43</v>
      </c>
      <c r="C69" s="21">
        <v>65</v>
      </c>
      <c r="D69" s="21" t="s">
        <v>125</v>
      </c>
      <c r="E69" s="21" t="s">
        <v>126</v>
      </c>
      <c r="F69" s="21" t="s">
        <v>127</v>
      </c>
      <c r="G69" s="21" t="s">
        <v>217</v>
      </c>
      <c r="H69" s="21" t="s">
        <v>227</v>
      </c>
      <c r="I69" s="21" t="s">
        <v>218</v>
      </c>
      <c r="J69" s="21" t="s">
        <v>130</v>
      </c>
      <c r="K69" s="21" t="s">
        <v>228</v>
      </c>
      <c r="L69" s="21" t="s">
        <v>133</v>
      </c>
      <c r="M69" s="23" t="s">
        <v>133</v>
      </c>
      <c r="N69" s="15">
        <v>43</v>
      </c>
      <c r="O69" s="16">
        <v>1</v>
      </c>
      <c r="P69" s="16"/>
      <c r="Q69" s="16"/>
      <c r="R69" s="16"/>
    </row>
    <row r="70" spans="1:18" ht="20" x14ac:dyDescent="0.2">
      <c r="A70" s="21" t="s">
        <v>229</v>
      </c>
      <c r="B70" s="21">
        <v>44</v>
      </c>
      <c r="C70" s="21">
        <v>45</v>
      </c>
      <c r="D70" s="21" t="s">
        <v>125</v>
      </c>
      <c r="E70" s="21" t="s">
        <v>126</v>
      </c>
      <c r="F70" s="21" t="s">
        <v>127</v>
      </c>
      <c r="G70" s="21" t="s">
        <v>128</v>
      </c>
      <c r="H70" s="21" t="s">
        <v>227</v>
      </c>
      <c r="I70" s="21" t="s">
        <v>129</v>
      </c>
      <c r="J70" s="21" t="s">
        <v>130</v>
      </c>
      <c r="K70" s="21" t="s">
        <v>230</v>
      </c>
      <c r="L70" s="21" t="s">
        <v>132</v>
      </c>
      <c r="M70" s="23" t="s">
        <v>175</v>
      </c>
      <c r="N70" s="15">
        <v>44</v>
      </c>
      <c r="O70" s="16"/>
      <c r="P70" s="16"/>
      <c r="Q70" s="16"/>
      <c r="R70" s="16">
        <v>1</v>
      </c>
    </row>
    <row r="71" spans="1:18" ht="20" x14ac:dyDescent="0.2">
      <c r="A71" s="21" t="s">
        <v>231</v>
      </c>
      <c r="B71" s="21">
        <v>45</v>
      </c>
      <c r="C71" s="21">
        <v>73</v>
      </c>
      <c r="D71" s="21" t="s">
        <v>135</v>
      </c>
      <c r="E71" s="21" t="s">
        <v>126</v>
      </c>
      <c r="F71" s="21" t="s">
        <v>127</v>
      </c>
      <c r="G71" s="21" t="s">
        <v>128</v>
      </c>
      <c r="H71" s="21">
        <v>1</v>
      </c>
      <c r="I71" s="21" t="s">
        <v>129</v>
      </c>
      <c r="J71" s="21" t="s">
        <v>130</v>
      </c>
      <c r="K71" s="21" t="s">
        <v>232</v>
      </c>
      <c r="L71" s="21" t="s">
        <v>133</v>
      </c>
      <c r="M71" s="23" t="s">
        <v>133</v>
      </c>
      <c r="N71" s="15">
        <v>45</v>
      </c>
      <c r="O71" s="16">
        <v>1</v>
      </c>
      <c r="P71" s="16"/>
      <c r="Q71" s="16"/>
      <c r="R71" s="16"/>
    </row>
    <row r="72" spans="1:18" ht="20" x14ac:dyDescent="0.2">
      <c r="A72" s="21" t="s">
        <v>233</v>
      </c>
      <c r="B72" s="21">
        <v>46</v>
      </c>
      <c r="C72" s="21">
        <v>50</v>
      </c>
      <c r="D72" s="21" t="s">
        <v>125</v>
      </c>
      <c r="E72" s="21" t="s">
        <v>126</v>
      </c>
      <c r="F72" s="21" t="s">
        <v>127</v>
      </c>
      <c r="G72" s="21" t="s">
        <v>128</v>
      </c>
      <c r="H72" s="21">
        <v>1</v>
      </c>
      <c r="I72" s="21" t="s">
        <v>129</v>
      </c>
      <c r="J72" s="21" t="s">
        <v>130</v>
      </c>
      <c r="K72" s="21" t="s">
        <v>234</v>
      </c>
      <c r="L72" s="21" t="s">
        <v>175</v>
      </c>
      <c r="M72" s="23" t="s">
        <v>175</v>
      </c>
      <c r="N72" s="15">
        <v>46</v>
      </c>
      <c r="O72" s="16"/>
      <c r="P72" s="16">
        <v>1</v>
      </c>
      <c r="Q72" s="16"/>
      <c r="R72" s="16"/>
    </row>
    <row r="73" spans="1:18" ht="20" x14ac:dyDescent="0.2">
      <c r="A73" s="21" t="s">
        <v>235</v>
      </c>
      <c r="B73" s="21">
        <v>47</v>
      </c>
      <c r="C73" s="21">
        <v>66</v>
      </c>
      <c r="D73" s="21" t="s">
        <v>125</v>
      </c>
      <c r="E73" s="21" t="s">
        <v>126</v>
      </c>
      <c r="F73" s="21" t="s">
        <v>127</v>
      </c>
      <c r="G73" s="21" t="s">
        <v>128</v>
      </c>
      <c r="H73" s="21">
        <v>1</v>
      </c>
      <c r="I73" s="21" t="s">
        <v>129</v>
      </c>
      <c r="J73" s="21" t="s">
        <v>130</v>
      </c>
      <c r="K73" s="21" t="s">
        <v>236</v>
      </c>
      <c r="L73" s="21" t="s">
        <v>133</v>
      </c>
      <c r="M73" s="23" t="s">
        <v>133</v>
      </c>
      <c r="N73" s="15">
        <v>47</v>
      </c>
      <c r="O73" s="16">
        <v>1</v>
      </c>
      <c r="P73" s="16"/>
      <c r="Q73" s="16"/>
      <c r="R73" s="16"/>
    </row>
    <row r="74" spans="1:18" ht="20" x14ac:dyDescent="0.2">
      <c r="A74" s="49" t="s">
        <v>237</v>
      </c>
      <c r="B74" s="49">
        <v>48</v>
      </c>
      <c r="C74" s="49">
        <v>79</v>
      </c>
      <c r="D74" s="49" t="s">
        <v>125</v>
      </c>
      <c r="E74" s="49" t="s">
        <v>126</v>
      </c>
      <c r="F74" s="49" t="s">
        <v>127</v>
      </c>
      <c r="G74" s="49" t="s">
        <v>140</v>
      </c>
      <c r="H74" s="49">
        <v>1</v>
      </c>
      <c r="I74" s="49" t="s">
        <v>141</v>
      </c>
      <c r="J74" s="49" t="s">
        <v>130</v>
      </c>
      <c r="K74" s="49" t="s">
        <v>238</v>
      </c>
      <c r="L74" s="49" t="s">
        <v>133</v>
      </c>
      <c r="M74" s="50" t="s">
        <v>133</v>
      </c>
      <c r="N74" s="45">
        <v>48</v>
      </c>
      <c r="O74" s="46">
        <v>1</v>
      </c>
      <c r="P74" s="46"/>
      <c r="Q74" s="46"/>
      <c r="R74" s="46"/>
    </row>
    <row r="75" spans="1:18" ht="20" x14ac:dyDescent="0.2">
      <c r="A75" s="24" t="s">
        <v>239</v>
      </c>
      <c r="B75" s="24">
        <v>49</v>
      </c>
      <c r="C75" s="24">
        <v>53</v>
      </c>
      <c r="D75" s="24" t="s">
        <v>135</v>
      </c>
      <c r="E75" s="24" t="s">
        <v>126</v>
      </c>
      <c r="F75" s="24" t="s">
        <v>127</v>
      </c>
      <c r="G75" s="24" t="s">
        <v>128</v>
      </c>
      <c r="H75" s="24">
        <v>2</v>
      </c>
      <c r="I75" s="24" t="s">
        <v>129</v>
      </c>
      <c r="J75" s="24" t="s">
        <v>130</v>
      </c>
      <c r="K75" s="24" t="s">
        <v>240</v>
      </c>
      <c r="L75" s="24" t="s">
        <v>132</v>
      </c>
      <c r="M75" s="25" t="s">
        <v>175</v>
      </c>
      <c r="N75" s="17">
        <v>49</v>
      </c>
      <c r="O75" s="18"/>
      <c r="P75" s="18"/>
      <c r="Q75" s="18"/>
      <c r="R75" s="18">
        <v>1</v>
      </c>
    </row>
    <row r="76" spans="1:18" ht="20" x14ac:dyDescent="0.2">
      <c r="A76" s="21" t="s">
        <v>241</v>
      </c>
      <c r="B76" s="21">
        <v>50</v>
      </c>
      <c r="C76" s="21">
        <v>60</v>
      </c>
      <c r="D76" s="21" t="s">
        <v>125</v>
      </c>
      <c r="E76" s="21" t="s">
        <v>126</v>
      </c>
      <c r="F76" s="21" t="s">
        <v>127</v>
      </c>
      <c r="G76" s="21" t="s">
        <v>128</v>
      </c>
      <c r="H76" s="21">
        <v>2</v>
      </c>
      <c r="I76" s="21" t="s">
        <v>129</v>
      </c>
      <c r="J76" s="21" t="s">
        <v>130</v>
      </c>
      <c r="K76" s="21" t="s">
        <v>242</v>
      </c>
      <c r="L76" s="21" t="s">
        <v>133</v>
      </c>
      <c r="M76" s="23" t="s">
        <v>133</v>
      </c>
      <c r="N76" s="15">
        <v>50</v>
      </c>
      <c r="O76" s="16">
        <v>1</v>
      </c>
      <c r="P76" s="16"/>
      <c r="Q76" s="16"/>
      <c r="R76" s="16"/>
    </row>
    <row r="77" spans="1:18" ht="20" x14ac:dyDescent="0.2">
      <c r="A77" s="21" t="s">
        <v>243</v>
      </c>
      <c r="B77" s="21">
        <v>51</v>
      </c>
      <c r="C77" s="21">
        <v>59</v>
      </c>
      <c r="D77" s="21" t="s">
        <v>125</v>
      </c>
      <c r="E77" s="21" t="s">
        <v>126</v>
      </c>
      <c r="F77" s="21" t="s">
        <v>127</v>
      </c>
      <c r="G77" s="21" t="s">
        <v>128</v>
      </c>
      <c r="H77" s="21">
        <v>2</v>
      </c>
      <c r="I77" s="21" t="s">
        <v>129</v>
      </c>
      <c r="J77" s="21" t="s">
        <v>130</v>
      </c>
      <c r="K77" s="21" t="s">
        <v>244</v>
      </c>
      <c r="L77" s="21" t="s">
        <v>175</v>
      </c>
      <c r="M77" s="23" t="s">
        <v>133</v>
      </c>
      <c r="N77" s="15">
        <v>51</v>
      </c>
      <c r="O77" s="16"/>
      <c r="P77" s="16">
        <v>1</v>
      </c>
      <c r="Q77" s="16"/>
      <c r="R77" s="16"/>
    </row>
    <row r="78" spans="1:18" ht="20" x14ac:dyDescent="0.2">
      <c r="A78" s="21" t="s">
        <v>245</v>
      </c>
      <c r="B78" s="21">
        <v>52</v>
      </c>
      <c r="C78" s="21">
        <v>68</v>
      </c>
      <c r="D78" s="21" t="s">
        <v>135</v>
      </c>
      <c r="E78" s="21" t="s">
        <v>126</v>
      </c>
      <c r="F78" s="21" t="s">
        <v>127</v>
      </c>
      <c r="G78" s="21" t="s">
        <v>128</v>
      </c>
      <c r="H78" s="21">
        <v>2</v>
      </c>
      <c r="I78" s="21" t="s">
        <v>129</v>
      </c>
      <c r="J78" s="21" t="s">
        <v>130</v>
      </c>
      <c r="K78" s="21" t="s">
        <v>246</v>
      </c>
      <c r="L78" s="21" t="s">
        <v>175</v>
      </c>
      <c r="M78" s="23" t="s">
        <v>133</v>
      </c>
      <c r="N78" s="15">
        <v>52</v>
      </c>
      <c r="O78" s="16"/>
      <c r="P78" s="16">
        <v>1</v>
      </c>
      <c r="Q78" s="16"/>
      <c r="R78" s="16"/>
    </row>
    <row r="79" spans="1:18" ht="20" x14ac:dyDescent="0.2">
      <c r="A79" s="21" t="s">
        <v>247</v>
      </c>
      <c r="B79" s="21">
        <v>53</v>
      </c>
      <c r="C79" s="21">
        <v>67</v>
      </c>
      <c r="D79" s="21" t="s">
        <v>125</v>
      </c>
      <c r="E79" s="21" t="s">
        <v>126</v>
      </c>
      <c r="F79" s="21" t="s">
        <v>127</v>
      </c>
      <c r="G79" s="21" t="s">
        <v>217</v>
      </c>
      <c r="H79" s="21">
        <v>2</v>
      </c>
      <c r="I79" s="21" t="s">
        <v>218</v>
      </c>
      <c r="J79" s="21" t="s">
        <v>130</v>
      </c>
      <c r="K79" s="21" t="s">
        <v>248</v>
      </c>
      <c r="L79" s="21" t="s">
        <v>132</v>
      </c>
      <c r="M79" s="23" t="s">
        <v>133</v>
      </c>
      <c r="N79" s="15">
        <v>53</v>
      </c>
      <c r="O79" s="16">
        <v>1</v>
      </c>
      <c r="P79" s="16"/>
      <c r="Q79" s="16"/>
      <c r="R79" s="16"/>
    </row>
    <row r="80" spans="1:18" ht="20" x14ac:dyDescent="0.2">
      <c r="A80" s="21" t="s">
        <v>249</v>
      </c>
      <c r="B80" s="21">
        <v>54</v>
      </c>
      <c r="C80" s="21">
        <v>61</v>
      </c>
      <c r="D80" s="21" t="s">
        <v>125</v>
      </c>
      <c r="E80" s="21" t="s">
        <v>126</v>
      </c>
      <c r="F80" s="21" t="s">
        <v>127</v>
      </c>
      <c r="G80" s="21" t="s">
        <v>128</v>
      </c>
      <c r="H80" s="21">
        <v>2</v>
      </c>
      <c r="I80" s="21" t="s">
        <v>129</v>
      </c>
      <c r="J80" s="21" t="s">
        <v>130</v>
      </c>
      <c r="K80" s="21" t="s">
        <v>250</v>
      </c>
      <c r="L80" s="21" t="s">
        <v>132</v>
      </c>
      <c r="M80" s="23" t="s">
        <v>133</v>
      </c>
      <c r="N80" s="15">
        <v>54</v>
      </c>
      <c r="O80" s="16">
        <v>1</v>
      </c>
      <c r="P80" s="16"/>
      <c r="Q80" s="16"/>
      <c r="R80" s="16"/>
    </row>
    <row r="81" spans="1:18" ht="20" x14ac:dyDescent="0.2">
      <c r="A81" s="21" t="s">
        <v>251</v>
      </c>
      <c r="B81" s="21">
        <v>55</v>
      </c>
      <c r="C81" s="21">
        <v>60</v>
      </c>
      <c r="D81" s="21" t="s">
        <v>125</v>
      </c>
      <c r="E81" s="21" t="s">
        <v>126</v>
      </c>
      <c r="F81" s="21" t="s">
        <v>127</v>
      </c>
      <c r="G81" s="21" t="s">
        <v>128</v>
      </c>
      <c r="H81" s="21">
        <v>2</v>
      </c>
      <c r="I81" s="21" t="s">
        <v>129</v>
      </c>
      <c r="J81" s="21" t="s">
        <v>130</v>
      </c>
      <c r="K81" s="21" t="s">
        <v>252</v>
      </c>
      <c r="L81" s="21" t="s">
        <v>132</v>
      </c>
      <c r="M81" s="23" t="s">
        <v>133</v>
      </c>
      <c r="N81" s="15">
        <v>55</v>
      </c>
      <c r="O81" s="16">
        <v>1</v>
      </c>
      <c r="P81" s="16"/>
      <c r="Q81" s="16"/>
      <c r="R81" s="16"/>
    </row>
    <row r="82" spans="1:18" ht="20" x14ac:dyDescent="0.2">
      <c r="A82" s="21" t="s">
        <v>253</v>
      </c>
      <c r="B82" s="21">
        <v>56</v>
      </c>
      <c r="C82" s="21">
        <v>62</v>
      </c>
      <c r="D82" s="21" t="s">
        <v>125</v>
      </c>
      <c r="E82" s="21" t="s">
        <v>126</v>
      </c>
      <c r="F82" s="21" t="s">
        <v>127</v>
      </c>
      <c r="G82" s="21" t="s">
        <v>254</v>
      </c>
      <c r="H82" s="21">
        <v>2</v>
      </c>
      <c r="I82" s="21" t="s">
        <v>255</v>
      </c>
      <c r="J82" s="21" t="s">
        <v>130</v>
      </c>
      <c r="K82" s="21" t="s">
        <v>256</v>
      </c>
      <c r="L82" s="21" t="s">
        <v>132</v>
      </c>
      <c r="M82" s="23" t="s">
        <v>133</v>
      </c>
      <c r="N82" s="15">
        <v>56</v>
      </c>
      <c r="O82" s="16">
        <v>1</v>
      </c>
      <c r="P82" s="16"/>
      <c r="Q82" s="16"/>
      <c r="R82" s="16"/>
    </row>
    <row r="83" spans="1:18" ht="20" x14ac:dyDescent="0.2">
      <c r="A83" s="21" t="s">
        <v>257</v>
      </c>
      <c r="B83" s="21">
        <v>57</v>
      </c>
      <c r="C83" s="21">
        <v>78</v>
      </c>
      <c r="D83" s="21" t="s">
        <v>125</v>
      </c>
      <c r="E83" s="21" t="s">
        <v>126</v>
      </c>
      <c r="F83" s="21" t="s">
        <v>127</v>
      </c>
      <c r="G83" s="21" t="s">
        <v>217</v>
      </c>
      <c r="H83" s="21">
        <v>2</v>
      </c>
      <c r="I83" s="21" t="s">
        <v>218</v>
      </c>
      <c r="J83" s="21" t="s">
        <v>130</v>
      </c>
      <c r="K83" s="21" t="s">
        <v>258</v>
      </c>
      <c r="L83" s="21" t="s">
        <v>147</v>
      </c>
      <c r="M83" s="23" t="s">
        <v>175</v>
      </c>
      <c r="N83" s="15">
        <v>57</v>
      </c>
      <c r="O83" s="16"/>
      <c r="P83" s="16">
        <v>1</v>
      </c>
      <c r="Q83" s="16"/>
      <c r="R83" s="16"/>
    </row>
    <row r="84" spans="1:18" ht="20" x14ac:dyDescent="0.2">
      <c r="A84" s="21" t="s">
        <v>259</v>
      </c>
      <c r="B84" s="21">
        <v>58</v>
      </c>
      <c r="C84" s="21">
        <v>53</v>
      </c>
      <c r="D84" s="21" t="s">
        <v>125</v>
      </c>
      <c r="E84" s="21" t="s">
        <v>126</v>
      </c>
      <c r="F84" s="21" t="s">
        <v>127</v>
      </c>
      <c r="G84" s="21" t="s">
        <v>128</v>
      </c>
      <c r="H84" s="21">
        <v>2</v>
      </c>
      <c r="I84" s="21" t="s">
        <v>129</v>
      </c>
      <c r="J84" s="21" t="s">
        <v>130</v>
      </c>
      <c r="K84" s="21" t="s">
        <v>260</v>
      </c>
      <c r="L84" s="21" t="s">
        <v>147</v>
      </c>
      <c r="M84" s="23" t="s">
        <v>175</v>
      </c>
      <c r="N84" s="15">
        <v>58</v>
      </c>
      <c r="O84" s="16"/>
      <c r="P84" s="16">
        <v>1</v>
      </c>
      <c r="Q84" s="16"/>
      <c r="R84" s="16"/>
    </row>
    <row r="85" spans="1:18" ht="20" x14ac:dyDescent="0.2">
      <c r="A85" s="21" t="s">
        <v>261</v>
      </c>
      <c r="B85" s="21">
        <v>59</v>
      </c>
      <c r="C85" s="21">
        <v>57</v>
      </c>
      <c r="D85" s="21" t="s">
        <v>135</v>
      </c>
      <c r="E85" s="21" t="s">
        <v>126</v>
      </c>
      <c r="F85" s="21" t="s">
        <v>262</v>
      </c>
      <c r="G85" s="21" t="s">
        <v>140</v>
      </c>
      <c r="H85" s="21">
        <v>2</v>
      </c>
      <c r="I85" s="21" t="s">
        <v>141</v>
      </c>
      <c r="J85" s="21" t="s">
        <v>130</v>
      </c>
      <c r="K85" s="21" t="s">
        <v>263</v>
      </c>
      <c r="L85" s="21" t="s">
        <v>147</v>
      </c>
      <c r="M85" s="23" t="s">
        <v>175</v>
      </c>
      <c r="N85" s="15">
        <v>59</v>
      </c>
      <c r="O85" s="16"/>
      <c r="P85" s="16">
        <v>1</v>
      </c>
      <c r="Q85" s="16"/>
      <c r="R85" s="16"/>
    </row>
    <row r="86" spans="1:18" ht="20" x14ac:dyDescent="0.2">
      <c r="A86" s="21" t="s">
        <v>264</v>
      </c>
      <c r="B86" s="21">
        <v>60</v>
      </c>
      <c r="C86" s="21">
        <v>54</v>
      </c>
      <c r="D86" s="21" t="s">
        <v>125</v>
      </c>
      <c r="E86" s="21" t="s">
        <v>126</v>
      </c>
      <c r="F86" s="21" t="s">
        <v>127</v>
      </c>
      <c r="G86" s="21" t="s">
        <v>128</v>
      </c>
      <c r="H86" s="21">
        <v>2</v>
      </c>
      <c r="I86" s="21" t="s">
        <v>129</v>
      </c>
      <c r="J86" s="21" t="s">
        <v>130</v>
      </c>
      <c r="K86" s="21" t="s">
        <v>265</v>
      </c>
      <c r="L86" s="21" t="s">
        <v>175</v>
      </c>
      <c r="M86" s="23" t="s">
        <v>147</v>
      </c>
      <c r="N86" s="15">
        <v>60</v>
      </c>
      <c r="O86" s="16"/>
      <c r="P86" s="16">
        <v>1</v>
      </c>
      <c r="Q86" s="16"/>
      <c r="R86" s="16"/>
    </row>
    <row r="87" spans="1:18" ht="20" x14ac:dyDescent="0.2">
      <c r="A87" s="24" t="s">
        <v>266</v>
      </c>
      <c r="B87" s="24">
        <v>61</v>
      </c>
      <c r="C87" s="24">
        <v>53</v>
      </c>
      <c r="D87" s="24" t="s">
        <v>135</v>
      </c>
      <c r="E87" s="24" t="s">
        <v>126</v>
      </c>
      <c r="F87" s="24" t="s">
        <v>127</v>
      </c>
      <c r="G87" s="24" t="s">
        <v>140</v>
      </c>
      <c r="H87" s="24">
        <v>2</v>
      </c>
      <c r="I87" s="24" t="s">
        <v>141</v>
      </c>
      <c r="J87" s="24" t="s">
        <v>130</v>
      </c>
      <c r="K87" s="24" t="s">
        <v>267</v>
      </c>
      <c r="L87" s="24" t="s">
        <v>132</v>
      </c>
      <c r="M87" s="25" t="s">
        <v>133</v>
      </c>
      <c r="N87" s="17">
        <v>61</v>
      </c>
      <c r="O87" s="18">
        <v>1</v>
      </c>
      <c r="P87" s="18"/>
      <c r="Q87" s="18"/>
      <c r="R87" s="18"/>
    </row>
    <row r="88" spans="1:18" ht="20" x14ac:dyDescent="0.2">
      <c r="A88" s="21" t="s">
        <v>268</v>
      </c>
      <c r="B88" s="21">
        <v>62</v>
      </c>
      <c r="C88" s="21">
        <v>79</v>
      </c>
      <c r="D88" s="21" t="s">
        <v>125</v>
      </c>
      <c r="E88" s="21" t="s">
        <v>126</v>
      </c>
      <c r="F88" s="21" t="s">
        <v>127</v>
      </c>
      <c r="G88" s="21" t="s">
        <v>128</v>
      </c>
      <c r="H88" s="21">
        <v>2</v>
      </c>
      <c r="I88" s="21" t="s">
        <v>129</v>
      </c>
      <c r="J88" s="21" t="s">
        <v>130</v>
      </c>
      <c r="K88" s="21" t="s">
        <v>269</v>
      </c>
      <c r="L88" s="21" t="s">
        <v>132</v>
      </c>
      <c r="M88" s="23" t="s">
        <v>133</v>
      </c>
      <c r="N88" s="15">
        <v>62</v>
      </c>
      <c r="O88" s="16">
        <v>1</v>
      </c>
      <c r="P88" s="16"/>
      <c r="Q88" s="16"/>
      <c r="R88" s="16"/>
    </row>
    <row r="89" spans="1:18" ht="20" x14ac:dyDescent="0.2">
      <c r="A89" s="21" t="s">
        <v>270</v>
      </c>
      <c r="B89" s="21">
        <v>63</v>
      </c>
      <c r="C89" s="21">
        <v>57</v>
      </c>
      <c r="D89" s="21" t="s">
        <v>135</v>
      </c>
      <c r="E89" s="21" t="s">
        <v>126</v>
      </c>
      <c r="F89" s="21" t="s">
        <v>127</v>
      </c>
      <c r="G89" s="21" t="s">
        <v>128</v>
      </c>
      <c r="H89" s="21">
        <v>2</v>
      </c>
      <c r="I89" s="21" t="s">
        <v>129</v>
      </c>
      <c r="J89" s="21" t="s">
        <v>130</v>
      </c>
      <c r="K89" s="21" t="s">
        <v>271</v>
      </c>
      <c r="L89" s="21" t="s">
        <v>132</v>
      </c>
      <c r="M89" s="23" t="s">
        <v>133</v>
      </c>
      <c r="N89" s="15">
        <v>63</v>
      </c>
      <c r="O89" s="16">
        <v>1</v>
      </c>
      <c r="P89" s="16"/>
      <c r="Q89" s="16"/>
      <c r="R89" s="16"/>
    </row>
    <row r="90" spans="1:18" ht="20" x14ac:dyDescent="0.2">
      <c r="A90" s="21" t="s">
        <v>272</v>
      </c>
      <c r="B90" s="21">
        <v>64</v>
      </c>
      <c r="C90" s="21">
        <v>74</v>
      </c>
      <c r="D90" s="21" t="s">
        <v>125</v>
      </c>
      <c r="E90" s="21" t="s">
        <v>126</v>
      </c>
      <c r="F90" s="21" t="s">
        <v>127</v>
      </c>
      <c r="G90" s="21" t="s">
        <v>140</v>
      </c>
      <c r="H90" s="21">
        <v>2</v>
      </c>
      <c r="I90" s="21" t="s">
        <v>141</v>
      </c>
      <c r="J90" s="21" t="s">
        <v>130</v>
      </c>
      <c r="K90" s="21" t="s">
        <v>273</v>
      </c>
      <c r="L90" s="21" t="s">
        <v>132</v>
      </c>
      <c r="M90" s="23" t="s">
        <v>133</v>
      </c>
      <c r="N90" s="15">
        <v>64</v>
      </c>
      <c r="O90" s="16">
        <v>1</v>
      </c>
      <c r="P90" s="16"/>
      <c r="Q90" s="16"/>
      <c r="R90" s="16"/>
    </row>
    <row r="91" spans="1:18" ht="20" x14ac:dyDescent="0.2">
      <c r="A91" s="21" t="s">
        <v>274</v>
      </c>
      <c r="B91" s="21">
        <v>65</v>
      </c>
      <c r="C91" s="21">
        <v>51</v>
      </c>
      <c r="D91" s="21" t="s">
        <v>125</v>
      </c>
      <c r="E91" s="21" t="s">
        <v>126</v>
      </c>
      <c r="F91" s="21" t="s">
        <v>127</v>
      </c>
      <c r="G91" s="21" t="s">
        <v>217</v>
      </c>
      <c r="H91" s="21">
        <v>2</v>
      </c>
      <c r="I91" s="21" t="s">
        <v>218</v>
      </c>
      <c r="J91" s="21" t="s">
        <v>130</v>
      </c>
      <c r="K91" s="21" t="s">
        <v>275</v>
      </c>
      <c r="L91" s="21" t="s">
        <v>132</v>
      </c>
      <c r="M91" s="23" t="s">
        <v>133</v>
      </c>
      <c r="N91" s="15">
        <v>65</v>
      </c>
      <c r="O91" s="16">
        <v>1</v>
      </c>
      <c r="P91" s="16"/>
      <c r="Q91" s="16"/>
      <c r="R91" s="16"/>
    </row>
    <row r="92" spans="1:18" ht="20" x14ac:dyDescent="0.2">
      <c r="A92" s="21" t="s">
        <v>276</v>
      </c>
      <c r="B92" s="21">
        <v>66</v>
      </c>
      <c r="C92" s="21">
        <v>54</v>
      </c>
      <c r="D92" s="21" t="s">
        <v>125</v>
      </c>
      <c r="E92" s="21" t="s">
        <v>126</v>
      </c>
      <c r="F92" s="21" t="s">
        <v>127</v>
      </c>
      <c r="G92" s="21" t="s">
        <v>128</v>
      </c>
      <c r="H92" s="21">
        <v>2</v>
      </c>
      <c r="I92" s="21" t="s">
        <v>129</v>
      </c>
      <c r="J92" s="21" t="s">
        <v>130</v>
      </c>
      <c r="K92" s="21" t="s">
        <v>277</v>
      </c>
      <c r="L92" s="21" t="s">
        <v>175</v>
      </c>
      <c r="M92" s="23" t="s">
        <v>133</v>
      </c>
      <c r="N92" s="15">
        <v>66</v>
      </c>
      <c r="O92" s="16"/>
      <c r="P92" s="16"/>
      <c r="Q92" s="16">
        <v>1</v>
      </c>
      <c r="R92" s="16"/>
    </row>
    <row r="93" spans="1:18" ht="20" x14ac:dyDescent="0.2">
      <c r="A93" s="21" t="s">
        <v>278</v>
      </c>
      <c r="B93" s="21">
        <v>67</v>
      </c>
      <c r="C93" s="21">
        <v>40</v>
      </c>
      <c r="D93" s="21" t="s">
        <v>125</v>
      </c>
      <c r="E93" s="21" t="s">
        <v>126</v>
      </c>
      <c r="F93" s="21" t="s">
        <v>127</v>
      </c>
      <c r="G93" s="21" t="s">
        <v>128</v>
      </c>
      <c r="H93" s="21">
        <v>2</v>
      </c>
      <c r="I93" s="21" t="s">
        <v>129</v>
      </c>
      <c r="J93" s="21" t="s">
        <v>130</v>
      </c>
      <c r="K93" s="21" t="s">
        <v>279</v>
      </c>
      <c r="L93" s="21" t="s">
        <v>133</v>
      </c>
      <c r="M93" s="23" t="s">
        <v>175</v>
      </c>
      <c r="N93" s="15">
        <v>67</v>
      </c>
      <c r="O93" s="16"/>
      <c r="P93" s="16"/>
      <c r="Q93" s="16"/>
      <c r="R93" s="16">
        <v>1</v>
      </c>
    </row>
    <row r="94" spans="1:18" ht="20" x14ac:dyDescent="0.2">
      <c r="A94" s="21" t="s">
        <v>280</v>
      </c>
      <c r="B94" s="21">
        <v>68</v>
      </c>
      <c r="C94" s="21">
        <v>65</v>
      </c>
      <c r="D94" s="21" t="s">
        <v>125</v>
      </c>
      <c r="E94" s="21" t="s">
        <v>126</v>
      </c>
      <c r="F94" s="21" t="s">
        <v>127</v>
      </c>
      <c r="G94" s="21" t="s">
        <v>140</v>
      </c>
      <c r="H94" s="21">
        <v>2</v>
      </c>
      <c r="I94" s="21" t="s">
        <v>141</v>
      </c>
      <c r="J94" s="21" t="s">
        <v>130</v>
      </c>
      <c r="K94" s="21" t="s">
        <v>281</v>
      </c>
      <c r="L94" s="21" t="s">
        <v>132</v>
      </c>
      <c r="M94" s="23" t="s">
        <v>175</v>
      </c>
      <c r="N94" s="15">
        <v>68</v>
      </c>
      <c r="O94" s="16"/>
      <c r="P94" s="16"/>
      <c r="Q94" s="16"/>
      <c r="R94" s="16">
        <v>1</v>
      </c>
    </row>
    <row r="95" spans="1:18" ht="20" x14ac:dyDescent="0.2">
      <c r="A95" s="21" t="s">
        <v>282</v>
      </c>
      <c r="B95" s="21">
        <v>69</v>
      </c>
      <c r="C95" s="21">
        <v>53</v>
      </c>
      <c r="D95" s="21" t="s">
        <v>135</v>
      </c>
      <c r="E95" s="21" t="s">
        <v>126</v>
      </c>
      <c r="F95" s="21" t="s">
        <v>127</v>
      </c>
      <c r="G95" s="21" t="s">
        <v>140</v>
      </c>
      <c r="H95" s="21">
        <v>2</v>
      </c>
      <c r="I95" s="21" t="s">
        <v>141</v>
      </c>
      <c r="J95" s="21" t="s">
        <v>130</v>
      </c>
      <c r="K95" s="21" t="s">
        <v>283</v>
      </c>
      <c r="L95" s="21" t="s">
        <v>175</v>
      </c>
      <c r="M95" s="23" t="s">
        <v>175</v>
      </c>
      <c r="N95" s="15">
        <v>69</v>
      </c>
      <c r="O95" s="16"/>
      <c r="P95" s="16">
        <v>1</v>
      </c>
      <c r="Q95" s="16"/>
      <c r="R95" s="16"/>
    </row>
    <row r="96" spans="1:18" ht="20" x14ac:dyDescent="0.2">
      <c r="A96" s="21" t="s">
        <v>284</v>
      </c>
      <c r="B96" s="21">
        <v>70</v>
      </c>
      <c r="C96" s="21">
        <v>59</v>
      </c>
      <c r="D96" s="21" t="s">
        <v>125</v>
      </c>
      <c r="E96" s="21" t="s">
        <v>126</v>
      </c>
      <c r="F96" s="21" t="s">
        <v>127</v>
      </c>
      <c r="G96" s="21" t="s">
        <v>140</v>
      </c>
      <c r="H96" s="21">
        <v>2</v>
      </c>
      <c r="I96" s="21" t="s">
        <v>141</v>
      </c>
      <c r="J96" s="21" t="s">
        <v>130</v>
      </c>
      <c r="K96" s="21" t="s">
        <v>285</v>
      </c>
      <c r="L96" s="21" t="s">
        <v>175</v>
      </c>
      <c r="M96" s="23" t="s">
        <v>175</v>
      </c>
      <c r="N96" s="15">
        <v>70</v>
      </c>
      <c r="O96" s="16"/>
      <c r="P96" s="16">
        <v>1</v>
      </c>
      <c r="Q96" s="16"/>
      <c r="R96" s="16"/>
    </row>
    <row r="97" spans="1:18" ht="20" x14ac:dyDescent="0.2">
      <c r="A97" s="21" t="s">
        <v>286</v>
      </c>
      <c r="B97" s="21">
        <v>71</v>
      </c>
      <c r="C97" s="21">
        <v>62</v>
      </c>
      <c r="D97" s="21" t="s">
        <v>125</v>
      </c>
      <c r="E97" s="21" t="s">
        <v>126</v>
      </c>
      <c r="F97" s="21" t="s">
        <v>127</v>
      </c>
      <c r="G97" s="21" t="s">
        <v>128</v>
      </c>
      <c r="H97" s="21">
        <v>2</v>
      </c>
      <c r="I97" s="21" t="s">
        <v>129</v>
      </c>
      <c r="J97" s="21" t="s">
        <v>130</v>
      </c>
      <c r="K97" s="21" t="s">
        <v>287</v>
      </c>
      <c r="L97" s="21" t="s">
        <v>133</v>
      </c>
      <c r="M97" s="23" t="s">
        <v>147</v>
      </c>
      <c r="N97" s="15">
        <v>71</v>
      </c>
      <c r="O97" s="16"/>
      <c r="P97" s="16"/>
      <c r="Q97" s="16"/>
      <c r="R97" s="16">
        <v>1</v>
      </c>
    </row>
    <row r="98" spans="1:18" ht="20" x14ac:dyDescent="0.2">
      <c r="A98" s="21" t="s">
        <v>288</v>
      </c>
      <c r="B98" s="21">
        <v>72</v>
      </c>
      <c r="C98" s="21">
        <v>57</v>
      </c>
      <c r="D98" s="21" t="s">
        <v>125</v>
      </c>
      <c r="E98" s="21" t="s">
        <v>126</v>
      </c>
      <c r="F98" s="21" t="s">
        <v>127</v>
      </c>
      <c r="G98" s="21" t="s">
        <v>128</v>
      </c>
      <c r="H98" s="21">
        <v>2</v>
      </c>
      <c r="I98" s="21" t="s">
        <v>129</v>
      </c>
      <c r="J98" s="21" t="s">
        <v>130</v>
      </c>
      <c r="K98" s="21" t="s">
        <v>289</v>
      </c>
      <c r="L98" s="21" t="s">
        <v>132</v>
      </c>
      <c r="M98" s="23" t="s">
        <v>147</v>
      </c>
      <c r="N98" s="15">
        <v>72</v>
      </c>
      <c r="O98" s="16"/>
      <c r="P98" s="16"/>
      <c r="Q98" s="16"/>
      <c r="R98" s="16">
        <v>1</v>
      </c>
    </row>
    <row r="99" spans="1:18" ht="20" x14ac:dyDescent="0.2">
      <c r="A99" s="24" t="s">
        <v>290</v>
      </c>
      <c r="B99" s="24">
        <v>73</v>
      </c>
      <c r="C99" s="24">
        <v>38</v>
      </c>
      <c r="D99" s="24" t="s">
        <v>125</v>
      </c>
      <c r="E99" s="24" t="s">
        <v>126</v>
      </c>
      <c r="F99" s="24" t="s">
        <v>127</v>
      </c>
      <c r="G99" s="24" t="s">
        <v>140</v>
      </c>
      <c r="H99" s="24" t="s">
        <v>291</v>
      </c>
      <c r="I99" s="24" t="s">
        <v>141</v>
      </c>
      <c r="J99" s="24" t="s">
        <v>130</v>
      </c>
      <c r="K99" s="24" t="s">
        <v>292</v>
      </c>
      <c r="L99" s="24" t="s">
        <v>132</v>
      </c>
      <c r="M99" s="25" t="s">
        <v>133</v>
      </c>
      <c r="N99" s="17">
        <v>73</v>
      </c>
      <c r="O99" s="18">
        <v>1</v>
      </c>
      <c r="P99" s="18"/>
      <c r="Q99" s="18"/>
      <c r="R99" s="18"/>
    </row>
    <row r="100" spans="1:18" ht="20" x14ac:dyDescent="0.2">
      <c r="A100" s="21" t="s">
        <v>293</v>
      </c>
      <c r="B100" s="21">
        <v>74</v>
      </c>
      <c r="C100" s="21">
        <v>73</v>
      </c>
      <c r="D100" s="21" t="s">
        <v>125</v>
      </c>
      <c r="E100" s="21" t="s">
        <v>126</v>
      </c>
      <c r="F100" s="21" t="s">
        <v>127</v>
      </c>
      <c r="G100" s="21" t="s">
        <v>128</v>
      </c>
      <c r="H100" s="21">
        <v>3</v>
      </c>
      <c r="I100" s="21" t="s">
        <v>129</v>
      </c>
      <c r="J100" s="21" t="s">
        <v>130</v>
      </c>
      <c r="K100" s="21" t="s">
        <v>294</v>
      </c>
      <c r="L100" s="21" t="s">
        <v>133</v>
      </c>
      <c r="M100" s="23" t="s">
        <v>133</v>
      </c>
      <c r="N100" s="15">
        <v>74</v>
      </c>
      <c r="O100" s="16">
        <v>1</v>
      </c>
      <c r="P100" s="16"/>
      <c r="Q100" s="16"/>
      <c r="R100" s="16"/>
    </row>
    <row r="101" spans="1:18" ht="20" x14ac:dyDescent="0.2">
      <c r="A101" s="21" t="s">
        <v>295</v>
      </c>
      <c r="B101" s="21">
        <v>75</v>
      </c>
      <c r="C101" s="21">
        <v>54</v>
      </c>
      <c r="D101" s="21" t="s">
        <v>125</v>
      </c>
      <c r="E101" s="21" t="s">
        <v>126</v>
      </c>
      <c r="F101" s="21" t="s">
        <v>127</v>
      </c>
      <c r="G101" s="21" t="s">
        <v>128</v>
      </c>
      <c r="H101" s="21">
        <v>2</v>
      </c>
      <c r="I101" s="21" t="s">
        <v>129</v>
      </c>
      <c r="J101" s="21" t="s">
        <v>130</v>
      </c>
      <c r="K101" s="21" t="s">
        <v>296</v>
      </c>
      <c r="L101" s="21" t="s">
        <v>175</v>
      </c>
      <c r="M101" s="23" t="s">
        <v>133</v>
      </c>
      <c r="N101" s="15">
        <v>75</v>
      </c>
      <c r="O101" s="16"/>
      <c r="P101" s="16"/>
      <c r="Q101" s="16">
        <v>1</v>
      </c>
      <c r="R101" s="16"/>
    </row>
    <row r="102" spans="1:18" ht="20" x14ac:dyDescent="0.2">
      <c r="A102" s="21" t="s">
        <v>297</v>
      </c>
      <c r="B102" s="21">
        <v>76</v>
      </c>
      <c r="C102" s="21">
        <v>54</v>
      </c>
      <c r="D102" s="21" t="s">
        <v>125</v>
      </c>
      <c r="E102" s="21" t="s">
        <v>126</v>
      </c>
      <c r="F102" s="21" t="s">
        <v>127</v>
      </c>
      <c r="G102" s="21" t="s">
        <v>128</v>
      </c>
      <c r="H102" s="21">
        <v>3</v>
      </c>
      <c r="I102" s="21" t="s">
        <v>129</v>
      </c>
      <c r="J102" s="21" t="s">
        <v>130</v>
      </c>
      <c r="K102" s="21" t="s">
        <v>298</v>
      </c>
      <c r="L102" s="21" t="s">
        <v>175</v>
      </c>
      <c r="M102" s="23" t="s">
        <v>133</v>
      </c>
      <c r="N102" s="15">
        <v>76</v>
      </c>
      <c r="O102" s="16"/>
      <c r="P102" s="16"/>
      <c r="Q102" s="16">
        <v>1</v>
      </c>
      <c r="R102" s="16"/>
    </row>
    <row r="103" spans="1:18" ht="20" x14ac:dyDescent="0.2">
      <c r="A103" s="21" t="s">
        <v>299</v>
      </c>
      <c r="B103" s="21">
        <v>77</v>
      </c>
      <c r="C103" s="21">
        <v>67</v>
      </c>
      <c r="D103" s="21" t="s">
        <v>125</v>
      </c>
      <c r="E103" s="21" t="s">
        <v>126</v>
      </c>
      <c r="F103" s="21" t="s">
        <v>127</v>
      </c>
      <c r="G103" s="21" t="s">
        <v>128</v>
      </c>
      <c r="H103" s="21">
        <v>3</v>
      </c>
      <c r="I103" s="21" t="s">
        <v>129</v>
      </c>
      <c r="J103" s="21" t="s">
        <v>130</v>
      </c>
      <c r="K103" s="21" t="s">
        <v>300</v>
      </c>
      <c r="L103" s="21" t="s">
        <v>175</v>
      </c>
      <c r="M103" s="23" t="s">
        <v>175</v>
      </c>
      <c r="N103" s="15">
        <v>77</v>
      </c>
      <c r="O103" s="16"/>
      <c r="P103" s="16">
        <v>1</v>
      </c>
      <c r="Q103" s="16"/>
      <c r="R103" s="16"/>
    </row>
    <row r="104" spans="1:18" ht="20" x14ac:dyDescent="0.2">
      <c r="A104" s="21" t="s">
        <v>301</v>
      </c>
      <c r="B104" s="21">
        <v>78</v>
      </c>
      <c r="C104" s="21">
        <v>43</v>
      </c>
      <c r="D104" s="21" t="s">
        <v>135</v>
      </c>
      <c r="E104" s="21" t="s">
        <v>126</v>
      </c>
      <c r="F104" s="21" t="s">
        <v>127</v>
      </c>
      <c r="G104" s="21" t="s">
        <v>128</v>
      </c>
      <c r="H104" s="21">
        <v>3</v>
      </c>
      <c r="I104" s="21" t="s">
        <v>129</v>
      </c>
      <c r="J104" s="21" t="s">
        <v>130</v>
      </c>
      <c r="K104" s="21" t="s">
        <v>302</v>
      </c>
      <c r="L104" s="21" t="s">
        <v>175</v>
      </c>
      <c r="M104" s="23" t="s">
        <v>133</v>
      </c>
      <c r="N104" s="15">
        <v>78</v>
      </c>
      <c r="O104" s="16"/>
      <c r="P104" s="16"/>
      <c r="Q104" s="16">
        <v>1</v>
      </c>
      <c r="R104" s="16"/>
    </row>
    <row r="105" spans="1:18" ht="20" x14ac:dyDescent="0.2">
      <c r="A105" s="21" t="s">
        <v>303</v>
      </c>
      <c r="B105" s="21">
        <v>79</v>
      </c>
      <c r="C105" s="21">
        <v>43</v>
      </c>
      <c r="D105" s="21" t="s">
        <v>125</v>
      </c>
      <c r="E105" s="21" t="s">
        <v>126</v>
      </c>
      <c r="F105" s="21" t="s">
        <v>127</v>
      </c>
      <c r="G105" s="21" t="s">
        <v>128</v>
      </c>
      <c r="H105" s="21">
        <v>3</v>
      </c>
      <c r="I105" s="21" t="s">
        <v>129</v>
      </c>
      <c r="J105" s="21" t="s">
        <v>130</v>
      </c>
      <c r="K105" s="21" t="s">
        <v>304</v>
      </c>
      <c r="L105" s="21" t="s">
        <v>132</v>
      </c>
      <c r="M105" s="23" t="s">
        <v>133</v>
      </c>
      <c r="N105" s="15">
        <v>79</v>
      </c>
      <c r="O105" s="16">
        <v>1</v>
      </c>
      <c r="P105" s="16"/>
      <c r="Q105" s="16"/>
      <c r="R105" s="16"/>
    </row>
    <row r="106" spans="1:18" ht="20" x14ac:dyDescent="0.2">
      <c r="A106" s="21" t="s">
        <v>305</v>
      </c>
      <c r="B106" s="21">
        <v>80</v>
      </c>
      <c r="C106" s="21">
        <v>50</v>
      </c>
      <c r="D106" s="21" t="s">
        <v>125</v>
      </c>
      <c r="E106" s="21" t="s">
        <v>126</v>
      </c>
      <c r="F106" s="21" t="s">
        <v>306</v>
      </c>
      <c r="G106" s="21" t="s">
        <v>128</v>
      </c>
      <c r="H106" s="21" t="s">
        <v>307</v>
      </c>
      <c r="I106" s="21" t="s">
        <v>129</v>
      </c>
      <c r="J106" s="21" t="s">
        <v>130</v>
      </c>
      <c r="K106" s="21" t="s">
        <v>308</v>
      </c>
      <c r="L106" s="21" t="s">
        <v>132</v>
      </c>
      <c r="M106" s="23" t="s">
        <v>133</v>
      </c>
      <c r="N106" s="15">
        <v>80</v>
      </c>
      <c r="O106" s="16">
        <v>1</v>
      </c>
      <c r="P106" s="16"/>
      <c r="Q106" s="16"/>
      <c r="R106" s="16"/>
    </row>
    <row r="107" spans="1:18" ht="20" x14ac:dyDescent="0.2">
      <c r="A107" s="21" t="s">
        <v>309</v>
      </c>
      <c r="B107" s="21">
        <v>81</v>
      </c>
      <c r="C107" s="21">
        <v>39</v>
      </c>
      <c r="D107" s="21" t="s">
        <v>135</v>
      </c>
      <c r="E107" s="21" t="s">
        <v>126</v>
      </c>
      <c r="F107" s="21" t="s">
        <v>306</v>
      </c>
      <c r="G107" s="21" t="s">
        <v>128</v>
      </c>
      <c r="H107" s="21" t="s">
        <v>307</v>
      </c>
      <c r="I107" s="21" t="s">
        <v>129</v>
      </c>
      <c r="J107" s="21" t="s">
        <v>130</v>
      </c>
      <c r="K107" s="21" t="s">
        <v>310</v>
      </c>
      <c r="L107" s="21" t="s">
        <v>132</v>
      </c>
      <c r="M107" s="23" t="s">
        <v>133</v>
      </c>
      <c r="N107" s="15">
        <v>81</v>
      </c>
      <c r="O107" s="16">
        <v>1</v>
      </c>
      <c r="P107" s="16"/>
      <c r="Q107" s="16"/>
      <c r="R107" s="16"/>
    </row>
    <row r="108" spans="1:18" ht="20" x14ac:dyDescent="0.2">
      <c r="A108" s="21" t="s">
        <v>311</v>
      </c>
      <c r="B108" s="21">
        <v>82</v>
      </c>
      <c r="C108" s="21">
        <v>45</v>
      </c>
      <c r="D108" s="21" t="s">
        <v>135</v>
      </c>
      <c r="E108" s="21" t="s">
        <v>126</v>
      </c>
      <c r="F108" s="21" t="s">
        <v>306</v>
      </c>
      <c r="G108" s="21" t="s">
        <v>128</v>
      </c>
      <c r="H108" s="21" t="s">
        <v>307</v>
      </c>
      <c r="I108" s="21" t="s">
        <v>129</v>
      </c>
      <c r="J108" s="21" t="s">
        <v>130</v>
      </c>
      <c r="K108" s="21" t="s">
        <v>312</v>
      </c>
      <c r="L108" s="21" t="s">
        <v>132</v>
      </c>
      <c r="M108" s="23" t="s">
        <v>175</v>
      </c>
      <c r="N108" s="15">
        <v>82</v>
      </c>
      <c r="O108" s="16"/>
      <c r="P108" s="16"/>
      <c r="Q108" s="16"/>
      <c r="R108" s="16">
        <v>1</v>
      </c>
    </row>
    <row r="109" spans="1:18" ht="20" x14ac:dyDescent="0.2">
      <c r="A109" s="21" t="s">
        <v>313</v>
      </c>
      <c r="B109" s="21">
        <v>83</v>
      </c>
      <c r="C109" s="21">
        <v>61</v>
      </c>
      <c r="D109" s="21" t="s">
        <v>135</v>
      </c>
      <c r="E109" s="21" t="s">
        <v>126</v>
      </c>
      <c r="F109" s="21" t="s">
        <v>314</v>
      </c>
      <c r="G109" s="21" t="s">
        <v>140</v>
      </c>
      <c r="H109" s="21" t="s">
        <v>307</v>
      </c>
      <c r="I109" s="21" t="s">
        <v>141</v>
      </c>
      <c r="J109" s="21" t="s">
        <v>130</v>
      </c>
      <c r="K109" s="21" t="s">
        <v>315</v>
      </c>
      <c r="L109" s="21" t="s">
        <v>132</v>
      </c>
      <c r="M109" s="23" t="s">
        <v>133</v>
      </c>
      <c r="N109" s="15">
        <v>83</v>
      </c>
      <c r="O109" s="16">
        <v>1</v>
      </c>
      <c r="P109" s="16"/>
      <c r="Q109" s="16"/>
      <c r="R109" s="16"/>
    </row>
    <row r="110" spans="1:18" ht="20" x14ac:dyDescent="0.2">
      <c r="A110" s="21" t="s">
        <v>316</v>
      </c>
      <c r="B110" s="21">
        <v>84</v>
      </c>
      <c r="C110" s="21">
        <v>71</v>
      </c>
      <c r="D110" s="21" t="s">
        <v>135</v>
      </c>
      <c r="E110" s="21" t="s">
        <v>126</v>
      </c>
      <c r="F110" s="21" t="s">
        <v>314</v>
      </c>
      <c r="G110" s="21" t="s">
        <v>217</v>
      </c>
      <c r="H110" s="21" t="s">
        <v>307</v>
      </c>
      <c r="I110" s="21" t="s">
        <v>218</v>
      </c>
      <c r="J110" s="21" t="s">
        <v>130</v>
      </c>
      <c r="K110" s="21" t="s">
        <v>317</v>
      </c>
      <c r="L110" s="21" t="s">
        <v>132</v>
      </c>
      <c r="M110" s="23" t="s">
        <v>147</v>
      </c>
      <c r="N110" s="15">
        <v>84</v>
      </c>
      <c r="O110" s="16"/>
      <c r="P110" s="16"/>
      <c r="Q110" s="16"/>
      <c r="R110" s="16">
        <v>1</v>
      </c>
    </row>
    <row r="111" spans="1:18" ht="20" x14ac:dyDescent="0.2">
      <c r="A111" s="24" t="s">
        <v>318</v>
      </c>
      <c r="B111" s="24">
        <v>85</v>
      </c>
      <c r="C111" s="24">
        <v>40</v>
      </c>
      <c r="D111" s="24" t="s">
        <v>135</v>
      </c>
      <c r="E111" s="24" t="s">
        <v>126</v>
      </c>
      <c r="F111" s="24" t="s">
        <v>319</v>
      </c>
      <c r="G111" s="24" t="s">
        <v>140</v>
      </c>
      <c r="H111" s="24" t="s">
        <v>307</v>
      </c>
      <c r="I111" s="24" t="s">
        <v>141</v>
      </c>
      <c r="J111" s="24" t="s">
        <v>130</v>
      </c>
      <c r="K111" s="24" t="s">
        <v>320</v>
      </c>
      <c r="L111" s="24" t="s">
        <v>132</v>
      </c>
      <c r="M111" s="25" t="s">
        <v>133</v>
      </c>
      <c r="N111" s="17">
        <v>85</v>
      </c>
      <c r="O111" s="18">
        <v>1</v>
      </c>
      <c r="P111" s="18"/>
      <c r="Q111" s="18"/>
      <c r="R111" s="18"/>
    </row>
    <row r="112" spans="1:18" ht="20" x14ac:dyDescent="0.2">
      <c r="A112" s="21" t="s">
        <v>321</v>
      </c>
      <c r="B112" s="21">
        <v>86</v>
      </c>
      <c r="C112" s="21">
        <v>54</v>
      </c>
      <c r="D112" s="21" t="s">
        <v>125</v>
      </c>
      <c r="E112" s="21" t="s">
        <v>126</v>
      </c>
      <c r="F112" s="21" t="s">
        <v>322</v>
      </c>
      <c r="G112" s="21" t="s">
        <v>140</v>
      </c>
      <c r="H112" s="21" t="s">
        <v>307</v>
      </c>
      <c r="I112" s="21" t="s">
        <v>141</v>
      </c>
      <c r="J112" s="21" t="s">
        <v>130</v>
      </c>
      <c r="K112" s="21" t="s">
        <v>323</v>
      </c>
      <c r="L112" s="21" t="s">
        <v>132</v>
      </c>
      <c r="M112" s="23" t="s">
        <v>133</v>
      </c>
      <c r="N112" s="15">
        <v>86</v>
      </c>
      <c r="O112" s="16">
        <v>1</v>
      </c>
      <c r="P112" s="16"/>
      <c r="Q112" s="16"/>
      <c r="R112" s="16"/>
    </row>
    <row r="113" spans="1:18" ht="20" x14ac:dyDescent="0.2">
      <c r="A113" s="21" t="s">
        <v>324</v>
      </c>
      <c r="B113" s="21">
        <v>87</v>
      </c>
      <c r="C113" s="21">
        <v>49</v>
      </c>
      <c r="D113" s="21" t="s">
        <v>135</v>
      </c>
      <c r="E113" s="21" t="s">
        <v>126</v>
      </c>
      <c r="F113" s="21" t="s">
        <v>325</v>
      </c>
      <c r="G113" s="21" t="s">
        <v>128</v>
      </c>
      <c r="H113" s="21" t="s">
        <v>307</v>
      </c>
      <c r="I113" s="21" t="s">
        <v>129</v>
      </c>
      <c r="J113" s="21" t="s">
        <v>130</v>
      </c>
      <c r="K113" s="21" t="s">
        <v>326</v>
      </c>
      <c r="L113" s="21" t="s">
        <v>175</v>
      </c>
      <c r="M113" s="23" t="s">
        <v>133</v>
      </c>
      <c r="N113" s="15">
        <v>87</v>
      </c>
      <c r="O113" s="16"/>
      <c r="P113" s="16"/>
      <c r="Q113" s="16">
        <v>1</v>
      </c>
      <c r="R113" s="16"/>
    </row>
    <row r="114" spans="1:18" ht="20" x14ac:dyDescent="0.2">
      <c r="A114" s="21" t="s">
        <v>327</v>
      </c>
      <c r="B114" s="21">
        <v>88</v>
      </c>
      <c r="C114" s="21">
        <v>49</v>
      </c>
      <c r="D114" s="21" t="s">
        <v>135</v>
      </c>
      <c r="E114" s="21" t="s">
        <v>126</v>
      </c>
      <c r="F114" s="21" t="s">
        <v>325</v>
      </c>
      <c r="G114" s="21" t="s">
        <v>140</v>
      </c>
      <c r="H114" s="21" t="s">
        <v>307</v>
      </c>
      <c r="I114" s="21" t="s">
        <v>141</v>
      </c>
      <c r="J114" s="21" t="s">
        <v>130</v>
      </c>
      <c r="K114" s="21" t="s">
        <v>328</v>
      </c>
      <c r="L114" s="21" t="s">
        <v>147</v>
      </c>
      <c r="M114" s="23" t="s">
        <v>133</v>
      </c>
      <c r="N114" s="15">
        <v>88</v>
      </c>
      <c r="O114" s="16"/>
      <c r="P114" s="16"/>
      <c r="Q114" s="16">
        <v>1</v>
      </c>
      <c r="R114" s="16"/>
    </row>
    <row r="115" spans="1:18" ht="20" x14ac:dyDescent="0.2">
      <c r="A115" s="21" t="s">
        <v>329</v>
      </c>
      <c r="B115" s="21">
        <v>89</v>
      </c>
      <c r="C115" s="21">
        <v>59</v>
      </c>
      <c r="D115" s="21" t="s">
        <v>125</v>
      </c>
      <c r="E115" s="21" t="s">
        <v>126</v>
      </c>
      <c r="F115" s="21" t="s">
        <v>325</v>
      </c>
      <c r="G115" s="21" t="s">
        <v>128</v>
      </c>
      <c r="H115" s="21" t="s">
        <v>307</v>
      </c>
      <c r="I115" s="21" t="s">
        <v>129</v>
      </c>
      <c r="J115" s="21" t="s">
        <v>130</v>
      </c>
      <c r="K115" s="21" t="s">
        <v>330</v>
      </c>
      <c r="L115" s="21" t="s">
        <v>132</v>
      </c>
      <c r="M115" s="23" t="s">
        <v>133</v>
      </c>
      <c r="N115" s="15">
        <v>89</v>
      </c>
      <c r="O115" s="16">
        <v>1</v>
      </c>
      <c r="P115" s="16"/>
      <c r="Q115" s="16"/>
      <c r="R115" s="16"/>
    </row>
    <row r="116" spans="1:18" ht="20" x14ac:dyDescent="0.2">
      <c r="A116" s="21" t="s">
        <v>331</v>
      </c>
      <c r="B116" s="21">
        <v>90</v>
      </c>
      <c r="C116" s="21">
        <v>71</v>
      </c>
      <c r="D116" s="21" t="s">
        <v>135</v>
      </c>
      <c r="E116" s="21" t="s">
        <v>126</v>
      </c>
      <c r="F116" s="21" t="s">
        <v>325</v>
      </c>
      <c r="G116" s="21" t="s">
        <v>140</v>
      </c>
      <c r="H116" s="21" t="s">
        <v>307</v>
      </c>
      <c r="I116" s="21" t="s">
        <v>141</v>
      </c>
      <c r="J116" s="21" t="s">
        <v>130</v>
      </c>
      <c r="K116" s="21" t="s">
        <v>332</v>
      </c>
      <c r="L116" s="21" t="s">
        <v>133</v>
      </c>
      <c r="M116" s="23" t="s">
        <v>133</v>
      </c>
      <c r="N116" s="15">
        <v>90</v>
      </c>
      <c r="O116" s="16">
        <v>1</v>
      </c>
      <c r="P116" s="16"/>
      <c r="Q116" s="16"/>
      <c r="R116" s="16"/>
    </row>
    <row r="117" spans="1:18" ht="20" x14ac:dyDescent="0.2">
      <c r="A117" s="21" t="s">
        <v>333</v>
      </c>
      <c r="B117" s="21">
        <v>91</v>
      </c>
      <c r="C117" s="21">
        <v>75</v>
      </c>
      <c r="D117" s="21" t="s">
        <v>135</v>
      </c>
      <c r="E117" s="21" t="s">
        <v>126</v>
      </c>
      <c r="F117" s="21" t="s">
        <v>334</v>
      </c>
      <c r="G117" s="21" t="s">
        <v>140</v>
      </c>
      <c r="H117" s="21" t="s">
        <v>307</v>
      </c>
      <c r="I117" s="21" t="s">
        <v>141</v>
      </c>
      <c r="J117" s="21" t="s">
        <v>130</v>
      </c>
      <c r="K117" s="21" t="s">
        <v>335</v>
      </c>
      <c r="L117" s="21" t="s">
        <v>132</v>
      </c>
      <c r="M117" s="23" t="s">
        <v>133</v>
      </c>
      <c r="N117" s="15">
        <v>91</v>
      </c>
      <c r="O117" s="16">
        <v>1</v>
      </c>
      <c r="P117" s="16"/>
      <c r="Q117" s="16"/>
      <c r="R117" s="16"/>
    </row>
    <row r="118" spans="1:18" ht="20" x14ac:dyDescent="0.2">
      <c r="A118" s="21" t="s">
        <v>336</v>
      </c>
      <c r="B118" s="21">
        <v>92</v>
      </c>
      <c r="C118" s="21">
        <v>44</v>
      </c>
      <c r="D118" s="21" t="s">
        <v>125</v>
      </c>
      <c r="E118" s="21" t="s">
        <v>126</v>
      </c>
      <c r="F118" s="21" t="s">
        <v>334</v>
      </c>
      <c r="G118" s="21" t="s">
        <v>128</v>
      </c>
      <c r="H118" s="21" t="s">
        <v>307</v>
      </c>
      <c r="I118" s="21" t="s">
        <v>129</v>
      </c>
      <c r="J118" s="21" t="s">
        <v>130</v>
      </c>
      <c r="K118" s="21" t="s">
        <v>337</v>
      </c>
      <c r="L118" s="21" t="s">
        <v>132</v>
      </c>
      <c r="M118" s="23" t="s">
        <v>133</v>
      </c>
      <c r="N118" s="15">
        <v>92</v>
      </c>
      <c r="O118" s="16">
        <v>1</v>
      </c>
      <c r="P118" s="16"/>
      <c r="Q118" s="16"/>
      <c r="R118" s="16"/>
    </row>
    <row r="119" spans="1:18" ht="20" x14ac:dyDescent="0.2">
      <c r="A119" s="21" t="s">
        <v>338</v>
      </c>
      <c r="B119" s="21">
        <v>93</v>
      </c>
      <c r="C119" s="21">
        <v>71</v>
      </c>
      <c r="D119" s="21" t="s">
        <v>125</v>
      </c>
      <c r="E119" s="21" t="s">
        <v>126</v>
      </c>
      <c r="F119" s="21" t="s">
        <v>334</v>
      </c>
      <c r="G119" s="21" t="s">
        <v>128</v>
      </c>
      <c r="H119" s="21" t="s">
        <v>307</v>
      </c>
      <c r="I119" s="21" t="s">
        <v>129</v>
      </c>
      <c r="J119" s="21" t="s">
        <v>130</v>
      </c>
      <c r="K119" s="21" t="s">
        <v>339</v>
      </c>
      <c r="L119" s="21" t="s">
        <v>132</v>
      </c>
      <c r="M119" s="23" t="s">
        <v>132</v>
      </c>
      <c r="N119" s="15">
        <v>93</v>
      </c>
      <c r="O119" s="16">
        <v>1</v>
      </c>
      <c r="P119" s="16"/>
      <c r="Q119" s="16"/>
      <c r="R119" s="16"/>
    </row>
    <row r="120" spans="1:18" ht="20" x14ac:dyDescent="0.2">
      <c r="A120" s="21" t="s">
        <v>340</v>
      </c>
      <c r="B120" s="21">
        <v>94</v>
      </c>
      <c r="C120" s="21">
        <v>60</v>
      </c>
      <c r="D120" s="21" t="s">
        <v>125</v>
      </c>
      <c r="E120" s="21" t="s">
        <v>126</v>
      </c>
      <c r="F120" s="21" t="s">
        <v>334</v>
      </c>
      <c r="G120" s="21" t="s">
        <v>128</v>
      </c>
      <c r="H120" s="21" t="s">
        <v>307</v>
      </c>
      <c r="I120" s="21" t="s">
        <v>129</v>
      </c>
      <c r="J120" s="21" t="s">
        <v>130</v>
      </c>
      <c r="K120" s="21" t="s">
        <v>341</v>
      </c>
      <c r="L120" s="21" t="s">
        <v>132</v>
      </c>
      <c r="M120" s="23" t="s">
        <v>133</v>
      </c>
      <c r="N120" s="15">
        <v>94</v>
      </c>
      <c r="O120" s="16">
        <v>1</v>
      </c>
      <c r="P120" s="16"/>
      <c r="Q120" s="16"/>
      <c r="R120" s="16"/>
    </row>
    <row r="121" spans="1:18" ht="20" x14ac:dyDescent="0.2">
      <c r="A121" s="21" t="s">
        <v>342</v>
      </c>
      <c r="B121" s="21">
        <v>95</v>
      </c>
      <c r="C121" s="21">
        <v>62</v>
      </c>
      <c r="D121" s="21" t="s">
        <v>125</v>
      </c>
      <c r="E121" s="21" t="s">
        <v>126</v>
      </c>
      <c r="F121" s="21" t="s">
        <v>334</v>
      </c>
      <c r="G121" s="21" t="s">
        <v>128</v>
      </c>
      <c r="H121" s="21" t="s">
        <v>307</v>
      </c>
      <c r="I121" s="21" t="s">
        <v>129</v>
      </c>
      <c r="J121" s="21" t="s">
        <v>130</v>
      </c>
      <c r="K121" s="21" t="s">
        <v>343</v>
      </c>
      <c r="L121" s="21" t="s">
        <v>132</v>
      </c>
      <c r="M121" s="23" t="s">
        <v>132</v>
      </c>
      <c r="N121" s="15">
        <v>95</v>
      </c>
      <c r="O121" s="16">
        <v>1</v>
      </c>
      <c r="P121" s="16"/>
      <c r="Q121" s="16"/>
      <c r="R121" s="16"/>
    </row>
    <row r="122" spans="1:18" ht="20" x14ac:dyDescent="0.2">
      <c r="A122" s="21" t="s">
        <v>344</v>
      </c>
      <c r="B122" s="21">
        <v>96</v>
      </c>
      <c r="C122" s="21">
        <v>56</v>
      </c>
      <c r="D122" s="21" t="s">
        <v>125</v>
      </c>
      <c r="E122" s="21" t="s">
        <v>126</v>
      </c>
      <c r="F122" s="21" t="s">
        <v>334</v>
      </c>
      <c r="G122" s="21" t="s">
        <v>128</v>
      </c>
      <c r="H122" s="21" t="s">
        <v>307</v>
      </c>
      <c r="I122" s="21" t="s">
        <v>129</v>
      </c>
      <c r="J122" s="21" t="s">
        <v>130</v>
      </c>
      <c r="K122" s="21" t="s">
        <v>345</v>
      </c>
      <c r="L122" s="21" t="s">
        <v>132</v>
      </c>
      <c r="M122" s="23" t="s">
        <v>132</v>
      </c>
      <c r="N122" s="15">
        <v>96</v>
      </c>
      <c r="O122" s="16">
        <v>1</v>
      </c>
      <c r="P122" s="16"/>
      <c r="Q122" s="16"/>
      <c r="R122" s="16"/>
    </row>
    <row r="123" spans="1:18" ht="20" x14ac:dyDescent="0.2">
      <c r="A123" s="24" t="s">
        <v>346</v>
      </c>
      <c r="B123" s="24">
        <v>97</v>
      </c>
      <c r="C123" s="24">
        <v>79</v>
      </c>
      <c r="D123" s="24" t="s">
        <v>135</v>
      </c>
      <c r="E123" s="24" t="s">
        <v>126</v>
      </c>
      <c r="F123" s="24" t="s">
        <v>334</v>
      </c>
      <c r="G123" s="24" t="s">
        <v>217</v>
      </c>
      <c r="H123" s="24" t="s">
        <v>307</v>
      </c>
      <c r="I123" s="24" t="s">
        <v>218</v>
      </c>
      <c r="J123" s="24" t="s">
        <v>130</v>
      </c>
      <c r="K123" s="24" t="s">
        <v>347</v>
      </c>
      <c r="L123" s="24" t="s">
        <v>133</v>
      </c>
      <c r="M123" s="25" t="s">
        <v>132</v>
      </c>
      <c r="N123" s="17">
        <v>97</v>
      </c>
      <c r="O123" s="18">
        <v>1</v>
      </c>
      <c r="P123" s="18"/>
      <c r="Q123" s="18"/>
      <c r="R123" s="18"/>
    </row>
    <row r="124" spans="1:18" ht="20" x14ac:dyDescent="0.2">
      <c r="A124" s="21" t="s">
        <v>348</v>
      </c>
      <c r="B124" s="21">
        <v>98</v>
      </c>
      <c r="C124" s="21">
        <v>65</v>
      </c>
      <c r="D124" s="21" t="s">
        <v>135</v>
      </c>
      <c r="E124" s="21" t="s">
        <v>126</v>
      </c>
      <c r="F124" s="21" t="s">
        <v>349</v>
      </c>
      <c r="G124" s="21" t="s">
        <v>140</v>
      </c>
      <c r="H124" s="21" t="s">
        <v>307</v>
      </c>
      <c r="I124" s="21" t="s">
        <v>141</v>
      </c>
      <c r="J124" s="21" t="s">
        <v>130</v>
      </c>
      <c r="K124" s="21" t="s">
        <v>350</v>
      </c>
      <c r="L124" s="21" t="s">
        <v>132</v>
      </c>
      <c r="M124" s="23" t="s">
        <v>133</v>
      </c>
      <c r="N124" s="15">
        <v>98</v>
      </c>
      <c r="O124" s="16">
        <v>1</v>
      </c>
      <c r="P124" s="16"/>
      <c r="Q124" s="16"/>
      <c r="R124" s="16"/>
    </row>
    <row r="125" spans="1:18" ht="20" x14ac:dyDescent="0.2">
      <c r="A125" s="21" t="s">
        <v>351</v>
      </c>
      <c r="B125" s="21">
        <v>99</v>
      </c>
      <c r="C125" s="21">
        <v>74</v>
      </c>
      <c r="D125" s="21" t="s">
        <v>125</v>
      </c>
      <c r="E125" s="21" t="s">
        <v>126</v>
      </c>
      <c r="F125" s="21" t="s">
        <v>334</v>
      </c>
      <c r="G125" s="21" t="s">
        <v>128</v>
      </c>
      <c r="H125" s="21" t="s">
        <v>307</v>
      </c>
      <c r="I125" s="21" t="s">
        <v>129</v>
      </c>
      <c r="J125" s="21" t="s">
        <v>130</v>
      </c>
      <c r="K125" s="21" t="s">
        <v>352</v>
      </c>
      <c r="L125" s="21" t="s">
        <v>132</v>
      </c>
      <c r="M125" s="23" t="s">
        <v>133</v>
      </c>
      <c r="N125" s="15">
        <v>99</v>
      </c>
      <c r="O125" s="16">
        <v>1</v>
      </c>
      <c r="P125" s="16"/>
      <c r="Q125" s="16"/>
      <c r="R125" s="16"/>
    </row>
    <row r="126" spans="1:18" ht="20" x14ac:dyDescent="0.2">
      <c r="A126" s="21" t="s">
        <v>353</v>
      </c>
      <c r="B126" s="21">
        <v>100</v>
      </c>
      <c r="C126" s="21">
        <v>75</v>
      </c>
      <c r="D126" s="21" t="s">
        <v>125</v>
      </c>
      <c r="E126" s="21" t="s">
        <v>126</v>
      </c>
      <c r="F126" s="21" t="s">
        <v>334</v>
      </c>
      <c r="G126" s="21" t="s">
        <v>128</v>
      </c>
      <c r="H126" s="21" t="s">
        <v>307</v>
      </c>
      <c r="I126" s="21" t="s">
        <v>129</v>
      </c>
      <c r="J126" s="21" t="s">
        <v>130</v>
      </c>
      <c r="K126" s="21" t="s">
        <v>354</v>
      </c>
      <c r="L126" s="21" t="s">
        <v>133</v>
      </c>
      <c r="M126" s="23" t="s">
        <v>133</v>
      </c>
      <c r="N126" s="15">
        <v>100</v>
      </c>
      <c r="O126" s="16">
        <v>1</v>
      </c>
      <c r="P126" s="16"/>
      <c r="Q126" s="16"/>
      <c r="R126" s="16"/>
    </row>
    <row r="127" spans="1:18" ht="20" x14ac:dyDescent="0.2">
      <c r="A127" s="21" t="s">
        <v>355</v>
      </c>
      <c r="B127" s="21">
        <v>101</v>
      </c>
      <c r="C127" s="21">
        <v>68</v>
      </c>
      <c r="D127" s="21" t="s">
        <v>125</v>
      </c>
      <c r="E127" s="21" t="s">
        <v>126</v>
      </c>
      <c r="F127" s="21" t="s">
        <v>334</v>
      </c>
      <c r="G127" s="21" t="s">
        <v>128</v>
      </c>
      <c r="H127" s="21" t="s">
        <v>307</v>
      </c>
      <c r="I127" s="21" t="s">
        <v>129</v>
      </c>
      <c r="J127" s="21" t="s">
        <v>130</v>
      </c>
      <c r="K127" s="21" t="s">
        <v>356</v>
      </c>
      <c r="L127" s="21" t="s">
        <v>132</v>
      </c>
      <c r="M127" s="23" t="s">
        <v>132</v>
      </c>
      <c r="N127" s="15">
        <v>101</v>
      </c>
      <c r="O127" s="16">
        <v>1</v>
      </c>
      <c r="P127" s="16"/>
      <c r="Q127" s="16"/>
      <c r="R127" s="16"/>
    </row>
    <row r="128" spans="1:18" ht="20" x14ac:dyDescent="0.2">
      <c r="A128" s="21" t="s">
        <v>357</v>
      </c>
      <c r="B128" s="21">
        <v>102</v>
      </c>
      <c r="C128" s="21">
        <v>51</v>
      </c>
      <c r="D128" s="21" t="s">
        <v>125</v>
      </c>
      <c r="E128" s="21" t="s">
        <v>126</v>
      </c>
      <c r="F128" s="21" t="s">
        <v>334</v>
      </c>
      <c r="G128" s="21" t="s">
        <v>128</v>
      </c>
      <c r="H128" s="21" t="s">
        <v>307</v>
      </c>
      <c r="I128" s="21" t="s">
        <v>129</v>
      </c>
      <c r="J128" s="21" t="s">
        <v>130</v>
      </c>
      <c r="K128" s="21" t="s">
        <v>358</v>
      </c>
      <c r="L128" s="21" t="s">
        <v>132</v>
      </c>
      <c r="M128" s="23" t="s">
        <v>133</v>
      </c>
      <c r="N128" s="15">
        <v>102</v>
      </c>
      <c r="O128" s="16">
        <v>1</v>
      </c>
      <c r="P128" s="16"/>
      <c r="Q128" s="16"/>
      <c r="R128" s="16"/>
    </row>
    <row r="129" spans="1:18" ht="20" x14ac:dyDescent="0.2">
      <c r="A129" s="21" t="s">
        <v>359</v>
      </c>
      <c r="B129" s="21">
        <v>103</v>
      </c>
      <c r="C129" s="21">
        <v>80</v>
      </c>
      <c r="D129" s="21" t="s">
        <v>125</v>
      </c>
      <c r="E129" s="21" t="s">
        <v>126</v>
      </c>
      <c r="F129" s="21" t="s">
        <v>334</v>
      </c>
      <c r="G129" s="21" t="s">
        <v>128</v>
      </c>
      <c r="H129" s="21" t="s">
        <v>307</v>
      </c>
      <c r="I129" s="21" t="s">
        <v>129</v>
      </c>
      <c r="J129" s="21" t="s">
        <v>130</v>
      </c>
      <c r="K129" s="21" t="s">
        <v>360</v>
      </c>
      <c r="L129" s="21" t="s">
        <v>133</v>
      </c>
      <c r="M129" s="23" t="s">
        <v>133</v>
      </c>
      <c r="N129" s="15">
        <v>103</v>
      </c>
      <c r="O129" s="16">
        <v>1</v>
      </c>
      <c r="P129" s="16"/>
      <c r="Q129" s="16"/>
      <c r="R129" s="16"/>
    </row>
    <row r="130" spans="1:18" ht="20" x14ac:dyDescent="0.2">
      <c r="A130" s="21" t="s">
        <v>361</v>
      </c>
      <c r="B130" s="21">
        <v>104</v>
      </c>
      <c r="C130" s="21">
        <v>75</v>
      </c>
      <c r="D130" s="21" t="s">
        <v>135</v>
      </c>
      <c r="E130" s="21" t="s">
        <v>126</v>
      </c>
      <c r="F130" s="21" t="s">
        <v>334</v>
      </c>
      <c r="G130" s="21" t="s">
        <v>128</v>
      </c>
      <c r="H130" s="21" t="s">
        <v>307</v>
      </c>
      <c r="I130" s="21" t="s">
        <v>129</v>
      </c>
      <c r="J130" s="21" t="s">
        <v>130</v>
      </c>
      <c r="K130" s="21" t="s">
        <v>362</v>
      </c>
      <c r="L130" s="21" t="s">
        <v>133</v>
      </c>
      <c r="M130" s="23" t="s">
        <v>133</v>
      </c>
      <c r="N130" s="15">
        <v>104</v>
      </c>
      <c r="O130" s="16">
        <v>1</v>
      </c>
      <c r="P130" s="16"/>
      <c r="Q130" s="16"/>
      <c r="R130" s="16"/>
    </row>
    <row r="131" spans="1:18" ht="20" x14ac:dyDescent="0.2">
      <c r="A131" s="21" t="s">
        <v>363</v>
      </c>
      <c r="B131" s="21">
        <v>105</v>
      </c>
      <c r="C131" s="21">
        <v>80</v>
      </c>
      <c r="D131" s="21" t="s">
        <v>135</v>
      </c>
      <c r="E131" s="21" t="s">
        <v>126</v>
      </c>
      <c r="F131" s="21" t="s">
        <v>334</v>
      </c>
      <c r="G131" s="21" t="s">
        <v>128</v>
      </c>
      <c r="H131" s="21" t="s">
        <v>307</v>
      </c>
      <c r="I131" s="21" t="s">
        <v>129</v>
      </c>
      <c r="J131" s="21" t="s">
        <v>130</v>
      </c>
      <c r="K131" s="21" t="s">
        <v>364</v>
      </c>
      <c r="L131" s="21" t="s">
        <v>147</v>
      </c>
      <c r="M131" s="23" t="s">
        <v>133</v>
      </c>
      <c r="N131" s="15">
        <v>105</v>
      </c>
      <c r="O131" s="16"/>
      <c r="P131" s="16"/>
      <c r="Q131" s="16">
        <v>1</v>
      </c>
      <c r="R131" s="16"/>
    </row>
    <row r="132" spans="1:18" ht="20" x14ac:dyDescent="0.2">
      <c r="A132" s="21" t="s">
        <v>365</v>
      </c>
      <c r="B132" s="21">
        <v>106</v>
      </c>
      <c r="C132" s="21">
        <v>76</v>
      </c>
      <c r="D132" s="21" t="s">
        <v>125</v>
      </c>
      <c r="E132" s="21" t="s">
        <v>126</v>
      </c>
      <c r="F132" s="21" t="s">
        <v>334</v>
      </c>
      <c r="G132" s="21" t="s">
        <v>128</v>
      </c>
      <c r="H132" s="21" t="s">
        <v>307</v>
      </c>
      <c r="I132" s="21" t="s">
        <v>129</v>
      </c>
      <c r="J132" s="21" t="s">
        <v>130</v>
      </c>
      <c r="K132" s="21" t="s">
        <v>366</v>
      </c>
      <c r="L132" s="21" t="s">
        <v>133</v>
      </c>
      <c r="M132" s="23" t="s">
        <v>132</v>
      </c>
      <c r="N132" s="15">
        <v>106</v>
      </c>
      <c r="O132" s="16">
        <v>1</v>
      </c>
      <c r="P132" s="16"/>
      <c r="Q132" s="16"/>
      <c r="R132" s="16"/>
    </row>
    <row r="133" spans="1:18" ht="20" x14ac:dyDescent="0.2">
      <c r="A133" s="21" t="s">
        <v>367</v>
      </c>
      <c r="B133" s="21">
        <v>107</v>
      </c>
      <c r="C133" s="21">
        <v>33</v>
      </c>
      <c r="D133" s="21" t="s">
        <v>125</v>
      </c>
      <c r="E133" s="21" t="s">
        <v>126</v>
      </c>
      <c r="F133" s="21" t="s">
        <v>334</v>
      </c>
      <c r="G133" s="21" t="s">
        <v>128</v>
      </c>
      <c r="H133" s="21" t="s">
        <v>307</v>
      </c>
      <c r="I133" s="21" t="s">
        <v>129</v>
      </c>
      <c r="J133" s="21" t="s">
        <v>130</v>
      </c>
      <c r="K133" s="21" t="s">
        <v>368</v>
      </c>
      <c r="L133" s="21" t="s">
        <v>175</v>
      </c>
      <c r="M133" s="23" t="s">
        <v>133</v>
      </c>
      <c r="N133" s="15">
        <v>107</v>
      </c>
      <c r="O133" s="16"/>
      <c r="P133" s="16"/>
      <c r="Q133" s="16">
        <v>1</v>
      </c>
      <c r="R133" s="16"/>
    </row>
    <row r="134" spans="1:18" ht="20" x14ac:dyDescent="0.2">
      <c r="A134" s="21" t="s">
        <v>369</v>
      </c>
      <c r="B134" s="21">
        <v>108</v>
      </c>
      <c r="C134" s="21">
        <v>61</v>
      </c>
      <c r="D134" s="21" t="s">
        <v>135</v>
      </c>
      <c r="E134" s="21" t="s">
        <v>126</v>
      </c>
      <c r="F134" s="21" t="s">
        <v>334</v>
      </c>
      <c r="G134" s="21" t="s">
        <v>128</v>
      </c>
      <c r="H134" s="21" t="s">
        <v>307</v>
      </c>
      <c r="I134" s="21" t="s">
        <v>129</v>
      </c>
      <c r="J134" s="21" t="s">
        <v>130</v>
      </c>
      <c r="K134" s="21" t="s">
        <v>370</v>
      </c>
      <c r="L134" s="21" t="s">
        <v>175</v>
      </c>
      <c r="M134" s="23" t="s">
        <v>175</v>
      </c>
      <c r="N134" s="15">
        <v>108</v>
      </c>
      <c r="O134" s="16"/>
      <c r="P134" s="16">
        <v>1</v>
      </c>
      <c r="Q134" s="16"/>
      <c r="R134" s="16"/>
    </row>
    <row r="135" spans="1:18" ht="20" x14ac:dyDescent="0.2">
      <c r="A135" s="24" t="s">
        <v>371</v>
      </c>
      <c r="B135" s="24">
        <v>109</v>
      </c>
      <c r="C135" s="24">
        <v>83</v>
      </c>
      <c r="D135" s="24" t="s">
        <v>135</v>
      </c>
      <c r="E135" s="24" t="s">
        <v>126</v>
      </c>
      <c r="F135" s="24" t="s">
        <v>372</v>
      </c>
      <c r="G135" s="24" t="s">
        <v>217</v>
      </c>
      <c r="H135" s="24" t="s">
        <v>198</v>
      </c>
      <c r="I135" s="24" t="s">
        <v>218</v>
      </c>
      <c r="J135" s="24" t="s">
        <v>130</v>
      </c>
      <c r="K135" s="24" t="s">
        <v>373</v>
      </c>
      <c r="L135" s="24" t="s">
        <v>168</v>
      </c>
      <c r="M135" s="25" t="s">
        <v>132</v>
      </c>
      <c r="N135" s="17">
        <v>109</v>
      </c>
      <c r="O135" s="18"/>
      <c r="P135" s="18"/>
      <c r="Q135" s="18"/>
      <c r="R135" s="18"/>
    </row>
    <row r="136" spans="1:18" ht="20" x14ac:dyDescent="0.2">
      <c r="A136" s="21" t="s">
        <v>374</v>
      </c>
      <c r="B136" s="21">
        <v>110</v>
      </c>
      <c r="C136" s="21">
        <v>52</v>
      </c>
      <c r="D136" s="21" t="s">
        <v>125</v>
      </c>
      <c r="E136" s="21" t="s">
        <v>126</v>
      </c>
      <c r="F136" s="21" t="s">
        <v>334</v>
      </c>
      <c r="G136" s="21" t="s">
        <v>217</v>
      </c>
      <c r="H136" s="21" t="s">
        <v>307</v>
      </c>
      <c r="I136" s="21" t="s">
        <v>218</v>
      </c>
      <c r="J136" s="21" t="s">
        <v>130</v>
      </c>
      <c r="K136" s="21" t="s">
        <v>375</v>
      </c>
      <c r="L136" s="21" t="s">
        <v>132</v>
      </c>
      <c r="M136" s="23" t="s">
        <v>133</v>
      </c>
      <c r="N136" s="15">
        <v>110</v>
      </c>
      <c r="O136" s="16">
        <v>1</v>
      </c>
      <c r="P136" s="16"/>
      <c r="Q136" s="16"/>
      <c r="R136" s="16"/>
    </row>
    <row r="137" spans="1:18" ht="20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3"/>
      <c r="N137" s="15"/>
      <c r="O137" s="16"/>
      <c r="P137" s="16"/>
      <c r="Q137" s="16"/>
      <c r="R137" s="16"/>
    </row>
    <row r="138" spans="1:18" ht="20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3"/>
      <c r="N138" s="15"/>
      <c r="O138" s="16"/>
      <c r="P138" s="16"/>
      <c r="Q138" s="16"/>
      <c r="R138" s="16"/>
    </row>
    <row r="139" spans="1:18" ht="20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3"/>
      <c r="N139" s="15"/>
      <c r="O139" s="16"/>
      <c r="P139" s="16"/>
      <c r="Q139" s="16"/>
      <c r="R139" s="16"/>
    </row>
    <row r="140" spans="1:18" ht="20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3"/>
      <c r="N140" s="15" t="s">
        <v>387</v>
      </c>
      <c r="O140" s="16">
        <f>COUNT(O27:O136)</f>
        <v>57</v>
      </c>
      <c r="P140" s="16">
        <f t="shared" ref="P140:R140" si="0">COUNT(P27:P136)</f>
        <v>13</v>
      </c>
      <c r="Q140" s="16">
        <f t="shared" si="0"/>
        <v>14</v>
      </c>
      <c r="R140" s="16">
        <f t="shared" si="0"/>
        <v>23</v>
      </c>
    </row>
    <row r="141" spans="1:18" ht="20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3"/>
      <c r="N141" s="15"/>
      <c r="O141" s="16"/>
      <c r="P141" s="16"/>
      <c r="Q141" s="16"/>
      <c r="R141" s="16"/>
    </row>
    <row r="142" spans="1:18" ht="20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 t="s">
        <v>377</v>
      </c>
      <c r="M142" s="26" t="s">
        <v>378</v>
      </c>
      <c r="N142" s="15"/>
      <c r="O142" s="16"/>
      <c r="P142" s="16"/>
      <c r="Q142" s="16"/>
      <c r="R142" s="16"/>
    </row>
    <row r="143" spans="1:18" ht="20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 t="s">
        <v>379</v>
      </c>
      <c r="M143" s="26" t="s">
        <v>380</v>
      </c>
      <c r="N143" s="15"/>
      <c r="O143" s="16"/>
      <c r="P143" s="16"/>
      <c r="Q143" s="16"/>
      <c r="R143" s="16"/>
    </row>
    <row r="144" spans="1:18" ht="20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3"/>
      <c r="N144" s="15"/>
      <c r="O144" s="16"/>
      <c r="P144" s="16"/>
      <c r="Q144" s="16"/>
      <c r="R144" s="16"/>
    </row>
  </sheetData>
  <mergeCells count="5">
    <mergeCell ref="A19:C19"/>
    <mergeCell ref="D19:F19"/>
    <mergeCell ref="G19:I19"/>
    <mergeCell ref="G5:I5"/>
    <mergeCell ref="J5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"/>
  <sheetViews>
    <sheetView tabSelected="1" topLeftCell="A3" zoomScale="139" workbookViewId="0">
      <selection activeCell="N85" sqref="N85"/>
    </sheetView>
  </sheetViews>
  <sheetFormatPr baseColWidth="10" defaultColWidth="8.83203125" defaultRowHeight="15" x14ac:dyDescent="0.2"/>
  <cols>
    <col min="5" max="5" width="11.83203125" bestFit="1" customWidth="1"/>
    <col min="8" max="8" width="11.83203125" bestFit="1" customWidth="1"/>
    <col min="14" max="14" width="11.83203125" bestFit="1" customWidth="1"/>
  </cols>
  <sheetData>
    <row r="1" spans="1:15" x14ac:dyDescent="0.2">
      <c r="A1" s="3" t="s">
        <v>428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11" t="s">
        <v>33</v>
      </c>
      <c r="B2" s="53" t="s">
        <v>25</v>
      </c>
      <c r="C2" s="53"/>
      <c r="D2" s="53"/>
      <c r="E2" s="53" t="s">
        <v>60</v>
      </c>
      <c r="F2" s="53"/>
      <c r="G2" s="53"/>
      <c r="H2" s="4"/>
      <c r="I2" s="11" t="s">
        <v>32</v>
      </c>
      <c r="J2" s="53" t="s">
        <v>25</v>
      </c>
      <c r="K2" s="53"/>
      <c r="L2" s="53"/>
      <c r="M2" s="53" t="s">
        <v>60</v>
      </c>
      <c r="N2" s="53"/>
      <c r="O2" s="53"/>
    </row>
    <row r="3" spans="1:15" x14ac:dyDescent="0.2">
      <c r="A3" s="5">
        <v>0.1</v>
      </c>
      <c r="B3" s="5">
        <v>103.1</v>
      </c>
      <c r="C3" s="5">
        <v>101.919</v>
      </c>
      <c r="D3" s="5">
        <v>94.981549999999999</v>
      </c>
      <c r="E3" s="5">
        <v>100.574</v>
      </c>
      <c r="F3" s="5">
        <v>99.36909</v>
      </c>
      <c r="G3" s="5">
        <v>100.057</v>
      </c>
      <c r="H3" s="4"/>
      <c r="I3" s="5">
        <v>0.1</v>
      </c>
      <c r="J3" s="5">
        <v>108.325</v>
      </c>
      <c r="K3" s="5">
        <v>97.211200000000005</v>
      </c>
      <c r="L3" s="5">
        <v>94.464100000000002</v>
      </c>
      <c r="M3" s="5">
        <v>101.666</v>
      </c>
      <c r="N3" s="5">
        <v>107.1486</v>
      </c>
      <c r="O3" s="5">
        <v>91.185199999999995</v>
      </c>
    </row>
    <row r="4" spans="1:15" x14ac:dyDescent="0.2">
      <c r="A4" s="5">
        <v>10</v>
      </c>
      <c r="B4" s="5">
        <v>98.524000000000001</v>
      </c>
      <c r="C4" s="5">
        <v>97.048000000000002</v>
      </c>
      <c r="D4" s="5">
        <v>94.095939999999999</v>
      </c>
      <c r="E4" s="5">
        <v>91.109800000000007</v>
      </c>
      <c r="F4" s="5">
        <v>92.314310000000006</v>
      </c>
      <c r="G4" s="5">
        <v>94.379099999999994</v>
      </c>
      <c r="H4" s="4"/>
      <c r="I4" s="5">
        <v>10</v>
      </c>
      <c r="J4" s="5">
        <v>102.581</v>
      </c>
      <c r="K4" s="5">
        <v>92.715900000000005</v>
      </c>
      <c r="L4" s="5">
        <v>84.724249999999998</v>
      </c>
      <c r="M4" s="5">
        <v>93.926400000000001</v>
      </c>
      <c r="N4" s="5">
        <v>87.315240000000003</v>
      </c>
      <c r="O4" s="5">
        <v>87.476500000000001</v>
      </c>
    </row>
    <row r="5" spans="1:15" x14ac:dyDescent="0.2">
      <c r="A5" s="5">
        <v>50</v>
      </c>
      <c r="B5" s="5">
        <v>91.143900000000002</v>
      </c>
      <c r="C5" s="5">
        <v>87.896699999999996</v>
      </c>
      <c r="D5" s="5">
        <v>88.487080000000006</v>
      </c>
      <c r="E5" s="5">
        <v>84.399199999999993</v>
      </c>
      <c r="F5" s="5">
        <v>91.798109999999994</v>
      </c>
      <c r="G5" s="5">
        <v>92.314300000000003</v>
      </c>
      <c r="H5" s="4"/>
      <c r="I5" s="5">
        <v>50</v>
      </c>
      <c r="J5" s="5">
        <v>96.711799999999997</v>
      </c>
      <c r="K5" s="5">
        <v>88.345500000000001</v>
      </c>
      <c r="L5" s="5">
        <v>83.350679999999997</v>
      </c>
      <c r="M5" s="5">
        <v>82.800299999999993</v>
      </c>
      <c r="N5" s="5">
        <v>81.349100000000007</v>
      </c>
      <c r="O5" s="5">
        <v>77.479200000000006</v>
      </c>
    </row>
    <row r="6" spans="1:15" x14ac:dyDescent="0.2">
      <c r="A6" s="5">
        <v>100</v>
      </c>
      <c r="B6" s="5">
        <v>79.778599999999997</v>
      </c>
      <c r="C6" s="5">
        <v>77.417000000000002</v>
      </c>
      <c r="D6" s="5">
        <v>79.48339</v>
      </c>
      <c r="E6" s="5">
        <v>42.070500000000003</v>
      </c>
      <c r="F6" s="5">
        <v>43.10295</v>
      </c>
      <c r="G6" s="5">
        <v>43.103000000000002</v>
      </c>
      <c r="H6" s="4"/>
      <c r="I6" s="5">
        <v>100</v>
      </c>
      <c r="J6" s="5">
        <v>89.2196</v>
      </c>
      <c r="K6" s="5">
        <v>87.096800000000002</v>
      </c>
      <c r="L6" s="5">
        <v>82.851200000000006</v>
      </c>
      <c r="M6" s="5">
        <v>15.8828</v>
      </c>
      <c r="N6" s="5">
        <v>18.30153</v>
      </c>
      <c r="O6" s="5">
        <v>25.557600000000001</v>
      </c>
    </row>
    <row r="7" spans="1:15" x14ac:dyDescent="0.2">
      <c r="A7" s="5">
        <v>200</v>
      </c>
      <c r="B7" s="5">
        <v>61.475999999999999</v>
      </c>
      <c r="C7" s="5">
        <v>61.7712</v>
      </c>
      <c r="D7" s="5">
        <v>61.328409999999998</v>
      </c>
      <c r="E7" s="5">
        <v>5.5922000000000001</v>
      </c>
      <c r="F7" s="5">
        <v>5.5922000000000001</v>
      </c>
      <c r="G7" s="5">
        <v>3.3553199999999999</v>
      </c>
      <c r="H7" s="4"/>
      <c r="I7" s="5">
        <v>200</v>
      </c>
      <c r="J7" s="5">
        <v>58.501600000000003</v>
      </c>
      <c r="K7" s="5">
        <v>57.752299999999998</v>
      </c>
      <c r="L7" s="5">
        <v>51.25911</v>
      </c>
      <c r="M7" s="5">
        <v>5.5630199999999999</v>
      </c>
      <c r="N7" s="5">
        <v>5.563021</v>
      </c>
      <c r="O7" s="5">
        <v>4.9180299999999999</v>
      </c>
    </row>
    <row r="8" spans="1:15" x14ac:dyDescent="0.2">
      <c r="A8" s="5">
        <v>300</v>
      </c>
      <c r="B8" s="5">
        <v>50.5535</v>
      </c>
      <c r="C8" s="5">
        <v>52.177100000000003</v>
      </c>
      <c r="D8" s="5">
        <v>48.92989</v>
      </c>
      <c r="E8" s="5">
        <v>3.01118</v>
      </c>
      <c r="F8" s="5">
        <v>2.4949810000000001</v>
      </c>
      <c r="G8" s="5">
        <v>2.49498</v>
      </c>
      <c r="H8" s="4"/>
      <c r="I8" s="5">
        <v>300</v>
      </c>
      <c r="J8" s="5">
        <v>46.514000000000003</v>
      </c>
      <c r="K8" s="5">
        <v>51.1342</v>
      </c>
      <c r="L8" s="5">
        <v>47.637880000000003</v>
      </c>
      <c r="M8" s="5">
        <v>4.9180299999999999</v>
      </c>
      <c r="N8" s="5">
        <v>3.4668100000000002</v>
      </c>
      <c r="O8" s="5">
        <v>2.4993300000000001</v>
      </c>
    </row>
    <row r="9" spans="1:15" x14ac:dyDescent="0.2">
      <c r="A9" s="5">
        <v>500</v>
      </c>
      <c r="B9" s="5">
        <v>39.778599999999997</v>
      </c>
      <c r="C9" s="5">
        <v>34.760100000000001</v>
      </c>
      <c r="D9" s="5">
        <v>38.154980000000002</v>
      </c>
      <c r="E9" s="5">
        <v>2.1508500000000002</v>
      </c>
      <c r="F9" s="5">
        <v>0.94637199999999999</v>
      </c>
      <c r="G9" s="5">
        <v>1.46258</v>
      </c>
      <c r="H9" s="4"/>
      <c r="I9" s="5">
        <v>500</v>
      </c>
      <c r="J9" s="5">
        <v>25.785599999999999</v>
      </c>
      <c r="K9" s="5">
        <v>25.660799999999998</v>
      </c>
      <c r="L9" s="5">
        <v>24.287199999999999</v>
      </c>
      <c r="M9" s="5">
        <v>4.2730399999999999</v>
      </c>
      <c r="N9" s="5">
        <v>2.983069</v>
      </c>
      <c r="O9" s="5">
        <v>2.9830700000000001</v>
      </c>
    </row>
    <row r="12" spans="1:15" x14ac:dyDescent="0.2">
      <c r="A12" s="3" t="s">
        <v>429</v>
      </c>
      <c r="B12" s="4"/>
      <c r="C12" s="4"/>
      <c r="D12" s="4"/>
      <c r="E12" s="4"/>
      <c r="F12" s="4"/>
      <c r="G12" s="4"/>
    </row>
    <row r="13" spans="1:15" x14ac:dyDescent="0.2">
      <c r="A13" s="4"/>
      <c r="B13" s="4"/>
      <c r="C13" s="4"/>
      <c r="D13" s="4"/>
      <c r="E13" s="4"/>
      <c r="F13" s="4"/>
      <c r="G13" s="4"/>
    </row>
    <row r="14" spans="1:15" x14ac:dyDescent="0.2">
      <c r="A14" s="11"/>
      <c r="B14" s="53" t="s">
        <v>25</v>
      </c>
      <c r="C14" s="53"/>
      <c r="D14" s="53"/>
      <c r="E14" s="60" t="s">
        <v>60</v>
      </c>
      <c r="F14" s="60"/>
      <c r="G14" s="60"/>
      <c r="H14" t="s">
        <v>407</v>
      </c>
    </row>
    <row r="15" spans="1:15" x14ac:dyDescent="0.2">
      <c r="A15" s="8" t="s">
        <v>7</v>
      </c>
      <c r="B15" s="5">
        <v>5.7</v>
      </c>
      <c r="C15" s="5">
        <v>7</v>
      </c>
      <c r="D15" s="5">
        <v>6.6</v>
      </c>
      <c r="E15" s="5">
        <v>5.8</v>
      </c>
      <c r="F15" s="5">
        <v>6.2</v>
      </c>
      <c r="G15" s="5">
        <v>6.5</v>
      </c>
      <c r="H15">
        <f>_xlfn.T.TEST(B15:D15,E15:G15,2,2)</f>
        <v>0.57267346052917589</v>
      </c>
    </row>
    <row r="16" spans="1:15" x14ac:dyDescent="0.2">
      <c r="A16" s="8" t="s">
        <v>33</v>
      </c>
      <c r="B16" s="5">
        <v>24</v>
      </c>
      <c r="C16" s="5">
        <v>26.1</v>
      </c>
      <c r="D16" s="5">
        <v>23</v>
      </c>
      <c r="E16" s="5">
        <v>29.9</v>
      </c>
      <c r="F16" s="5">
        <v>30.6</v>
      </c>
      <c r="G16" s="5">
        <v>31</v>
      </c>
      <c r="H16">
        <f t="shared" ref="H16:H17" si="0">_xlfn.T.TEST(B16:D16,E16:G16,2,2)</f>
        <v>3.1814627918138908E-3</v>
      </c>
    </row>
    <row r="17" spans="1:21" x14ac:dyDescent="0.2">
      <c r="A17" s="8" t="s">
        <v>32</v>
      </c>
      <c r="B17" s="5">
        <v>36.4</v>
      </c>
      <c r="C17" s="5">
        <v>33.700000000000003</v>
      </c>
      <c r="D17" s="5">
        <v>34.299999999999997</v>
      </c>
      <c r="E17" s="5">
        <v>46.9</v>
      </c>
      <c r="F17" s="5">
        <v>46.3</v>
      </c>
      <c r="G17" s="5">
        <v>45.8</v>
      </c>
      <c r="H17">
        <f t="shared" si="0"/>
        <v>1.9407308841605224E-4</v>
      </c>
    </row>
    <row r="20" spans="1:21" x14ac:dyDescent="0.2">
      <c r="A20" s="3" t="s">
        <v>430</v>
      </c>
      <c r="B20" s="4"/>
      <c r="C20" s="4"/>
      <c r="D20" s="4"/>
      <c r="E20" s="4"/>
      <c r="F20" s="4"/>
      <c r="G20" s="4"/>
      <c r="J20" s="12" t="s">
        <v>431</v>
      </c>
      <c r="K20" s="4"/>
      <c r="L20" s="4"/>
      <c r="M20" s="4"/>
      <c r="N20" s="4"/>
      <c r="O20" s="4"/>
      <c r="P20" s="4"/>
    </row>
    <row r="21" spans="1:21" x14ac:dyDescent="0.2">
      <c r="A21" s="11"/>
      <c r="B21" s="53" t="s">
        <v>25</v>
      </c>
      <c r="C21" s="53"/>
      <c r="D21" s="53"/>
      <c r="E21" s="60" t="s">
        <v>60</v>
      </c>
      <c r="F21" s="60"/>
      <c r="G21" s="60"/>
      <c r="H21" t="s">
        <v>407</v>
      </c>
      <c r="J21" s="11"/>
      <c r="K21" s="53" t="s">
        <v>25</v>
      </c>
      <c r="L21" s="53"/>
      <c r="M21" s="53"/>
      <c r="N21" s="60" t="s">
        <v>62</v>
      </c>
      <c r="O21" s="60"/>
      <c r="P21" s="60"/>
      <c r="Q21" t="s">
        <v>407</v>
      </c>
    </row>
    <row r="22" spans="1:21" x14ac:dyDescent="0.2">
      <c r="A22" s="8" t="s">
        <v>35</v>
      </c>
      <c r="B22" s="5">
        <v>101.21299999999999</v>
      </c>
      <c r="C22" s="5">
        <v>100.447</v>
      </c>
      <c r="D22" s="5">
        <v>98.339449999999999</v>
      </c>
      <c r="E22" s="5">
        <v>101.468</v>
      </c>
      <c r="F22" s="5">
        <v>100.0716</v>
      </c>
      <c r="G22" s="5">
        <v>98.4602</v>
      </c>
      <c r="H22">
        <f>_xlfn.T.TEST(B22:D22,E22:G22,2,2)</f>
        <v>0.99992839621005447</v>
      </c>
      <c r="J22" s="8" t="s">
        <v>35</v>
      </c>
      <c r="K22" s="5">
        <v>100.66079999999999</v>
      </c>
      <c r="L22" s="5">
        <v>97.984499999999997</v>
      </c>
      <c r="M22" s="5">
        <v>101.35469999999999</v>
      </c>
      <c r="N22" s="5">
        <v>95.109899999999996</v>
      </c>
      <c r="O22" s="5">
        <v>98.777500000000003</v>
      </c>
      <c r="P22" s="5">
        <v>100.26430000000001</v>
      </c>
      <c r="Q22">
        <f>_xlfn.T.TEST(K22:M22,N22:P22,2,2)</f>
        <v>0.35014067355960832</v>
      </c>
    </row>
    <row r="23" spans="1:21" x14ac:dyDescent="0.2">
      <c r="A23" s="8" t="s">
        <v>33</v>
      </c>
      <c r="B23" s="5">
        <v>92.208200000000005</v>
      </c>
      <c r="C23" s="5">
        <v>90.292199999999994</v>
      </c>
      <c r="D23" s="5">
        <v>88.280379999999994</v>
      </c>
      <c r="E23" s="5">
        <v>39.695599999999999</v>
      </c>
      <c r="F23" s="5">
        <v>32.712620000000001</v>
      </c>
      <c r="G23" s="5">
        <v>34.6464</v>
      </c>
      <c r="H23">
        <f t="shared" ref="H23:H28" si="1">_xlfn.T.TEST(B23:D23,E23:G23,2,2)</f>
        <v>2.1088279197670905E-5</v>
      </c>
      <c r="J23" s="8" t="s">
        <v>33</v>
      </c>
      <c r="K23" s="5">
        <v>74.888490000000004</v>
      </c>
      <c r="L23" s="5">
        <v>79.25</v>
      </c>
      <c r="M23" s="5">
        <v>75.384110000000007</v>
      </c>
      <c r="N23" s="5">
        <v>53.477600000000002</v>
      </c>
      <c r="O23" s="5">
        <v>53.279400000000003</v>
      </c>
      <c r="P23" s="5">
        <v>49.512639999999998</v>
      </c>
      <c r="Q23">
        <f t="shared" ref="Q23:Q28" si="2">_xlfn.T.TEST(K23:M23,N23:P23,2,2)</f>
        <v>2.0617422101714222E-4</v>
      </c>
    </row>
    <row r="24" spans="1:21" x14ac:dyDescent="0.2">
      <c r="A24" s="8" t="s">
        <v>36</v>
      </c>
      <c r="B24" s="5">
        <v>97.956299999999999</v>
      </c>
      <c r="C24" s="5">
        <v>89.909000000000006</v>
      </c>
      <c r="D24" s="5">
        <v>88.08878</v>
      </c>
      <c r="E24" s="5">
        <v>92.658900000000003</v>
      </c>
      <c r="F24" s="5">
        <v>90.402860000000004</v>
      </c>
      <c r="G24" s="5">
        <v>89.758300000000006</v>
      </c>
      <c r="H24">
        <f t="shared" si="1"/>
        <v>0.75729684278319009</v>
      </c>
      <c r="J24" s="8" t="s">
        <v>36</v>
      </c>
      <c r="K24" s="5">
        <v>100.8591</v>
      </c>
      <c r="L24" s="5">
        <v>102.346</v>
      </c>
      <c r="M24" s="5">
        <v>98.777469999999994</v>
      </c>
      <c r="N24" s="5">
        <v>93.722099999999998</v>
      </c>
      <c r="O24" s="5">
        <v>95.109899999999996</v>
      </c>
      <c r="P24" s="5">
        <v>99.372209999999995</v>
      </c>
      <c r="Q24">
        <f t="shared" si="2"/>
        <v>8.2238802048107768E-2</v>
      </c>
    </row>
    <row r="25" spans="1:21" x14ac:dyDescent="0.2">
      <c r="A25" s="8" t="s">
        <v>37</v>
      </c>
      <c r="B25" s="5">
        <v>92.591399999999993</v>
      </c>
      <c r="C25" s="5">
        <v>91.825000000000003</v>
      </c>
      <c r="D25" s="5">
        <v>88.280379999999994</v>
      </c>
      <c r="E25" s="5">
        <v>88.469099999999997</v>
      </c>
      <c r="F25" s="5">
        <v>88.791409999999999</v>
      </c>
      <c r="G25" s="5">
        <v>87.287400000000005</v>
      </c>
      <c r="H25">
        <f t="shared" si="1"/>
        <v>0.12520709840560676</v>
      </c>
      <c r="J25" s="8" t="s">
        <v>37</v>
      </c>
      <c r="K25" s="5">
        <v>107.8969</v>
      </c>
      <c r="L25" s="5">
        <v>101.256</v>
      </c>
      <c r="M25" s="5">
        <v>101.0573</v>
      </c>
      <c r="N25" s="5">
        <v>95.902900000000002</v>
      </c>
      <c r="O25" s="5">
        <v>99.669600000000003</v>
      </c>
      <c r="P25" s="5">
        <v>100.8591</v>
      </c>
      <c r="Q25">
        <f t="shared" si="2"/>
        <v>0.16398599805946443</v>
      </c>
    </row>
    <row r="26" spans="1:21" x14ac:dyDescent="0.2">
      <c r="A26" s="8" t="s">
        <v>32</v>
      </c>
      <c r="B26" s="5">
        <v>78.604500000000002</v>
      </c>
      <c r="C26" s="5">
        <v>76.880099999999999</v>
      </c>
      <c r="D26" s="5">
        <v>73.239660000000001</v>
      </c>
      <c r="E26" s="5">
        <v>25.085000000000001</v>
      </c>
      <c r="F26" s="5">
        <v>17.994630000000001</v>
      </c>
      <c r="G26" s="5">
        <v>16.705500000000001</v>
      </c>
      <c r="H26">
        <f t="shared" si="1"/>
        <v>5.0465979576553816E-5</v>
      </c>
      <c r="J26" s="8" t="s">
        <v>32</v>
      </c>
      <c r="K26" s="5">
        <v>74.690240000000003</v>
      </c>
      <c r="L26" s="5">
        <v>75.582400000000007</v>
      </c>
      <c r="M26" s="5">
        <v>74.987610000000004</v>
      </c>
      <c r="N26" s="5">
        <v>49.116100000000003</v>
      </c>
      <c r="O26" s="5">
        <v>45.052</v>
      </c>
      <c r="P26" s="5">
        <v>46.638030000000001</v>
      </c>
      <c r="Q26">
        <f t="shared" si="2"/>
        <v>2.0316484914007108E-5</v>
      </c>
    </row>
    <row r="27" spans="1:21" x14ac:dyDescent="0.2">
      <c r="A27" s="8" t="s">
        <v>38</v>
      </c>
      <c r="B27" s="5">
        <v>90.867000000000004</v>
      </c>
      <c r="C27" s="5">
        <v>85.119</v>
      </c>
      <c r="D27" s="5">
        <v>85.693759999999997</v>
      </c>
      <c r="E27" s="5">
        <v>93.625799999999998</v>
      </c>
      <c r="F27" s="5">
        <v>92.551479999999998</v>
      </c>
      <c r="G27" s="5">
        <v>92.336600000000004</v>
      </c>
      <c r="H27">
        <f t="shared" si="1"/>
        <v>3.9960372851818082E-2</v>
      </c>
      <c r="J27" s="8" t="s">
        <v>38</v>
      </c>
      <c r="K27" s="5">
        <v>101.35469999999999</v>
      </c>
      <c r="L27" s="5">
        <v>104.13</v>
      </c>
      <c r="M27" s="5">
        <v>98.083590000000001</v>
      </c>
      <c r="N27" s="5">
        <v>90.252799999999993</v>
      </c>
      <c r="O27" s="5">
        <v>93.623000000000005</v>
      </c>
      <c r="P27" s="5">
        <v>95.803730000000002</v>
      </c>
      <c r="Q27">
        <f t="shared" si="2"/>
        <v>2.8650466385712135E-2</v>
      </c>
    </row>
    <row r="28" spans="1:21" x14ac:dyDescent="0.2">
      <c r="A28" s="8" t="s">
        <v>39</v>
      </c>
      <c r="B28" s="5">
        <v>97.189800000000005</v>
      </c>
      <c r="C28" s="5">
        <v>97.093999999999994</v>
      </c>
      <c r="D28" s="5">
        <v>91.729200000000006</v>
      </c>
      <c r="E28" s="5">
        <v>93.196100000000001</v>
      </c>
      <c r="F28" s="5">
        <v>102.43510000000001</v>
      </c>
      <c r="G28" s="5">
        <v>99.856800000000007</v>
      </c>
      <c r="H28">
        <f t="shared" si="1"/>
        <v>0.39158913106054349</v>
      </c>
      <c r="J28" s="8" t="s">
        <v>39</v>
      </c>
      <c r="K28" s="5">
        <v>105.4188</v>
      </c>
      <c r="L28" s="5">
        <v>102.44499999999999</v>
      </c>
      <c r="M28" s="5">
        <v>101.6521</v>
      </c>
      <c r="N28" s="5">
        <v>96.200199999999995</v>
      </c>
      <c r="O28" s="5">
        <v>95.902900000000002</v>
      </c>
      <c r="P28" s="5">
        <v>98.281840000000003</v>
      </c>
      <c r="Q28">
        <f t="shared" si="2"/>
        <v>9.6060276137686189E-3</v>
      </c>
    </row>
    <row r="31" spans="1:21" x14ac:dyDescent="0.2">
      <c r="A31" s="12" t="s">
        <v>432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">
      <c r="A32" s="11" t="s">
        <v>33</v>
      </c>
      <c r="B32" s="53" t="s">
        <v>25</v>
      </c>
      <c r="C32" s="53"/>
      <c r="D32" s="53"/>
      <c r="E32" s="53"/>
      <c r="F32" s="53" t="s">
        <v>60</v>
      </c>
      <c r="G32" s="53"/>
      <c r="H32" s="53"/>
      <c r="I32" s="53"/>
      <c r="J32" s="4"/>
      <c r="K32" s="4"/>
      <c r="L32" s="4"/>
      <c r="M32" s="11" t="s">
        <v>32</v>
      </c>
      <c r="N32" s="53" t="s">
        <v>25</v>
      </c>
      <c r="O32" s="53"/>
      <c r="P32" s="53"/>
      <c r="Q32" s="53"/>
      <c r="R32" s="53" t="s">
        <v>60</v>
      </c>
      <c r="S32" s="53"/>
      <c r="T32" s="53"/>
      <c r="U32" s="53"/>
    </row>
    <row r="33" spans="1:21" x14ac:dyDescent="0.2">
      <c r="A33" s="5">
        <v>0.1</v>
      </c>
      <c r="B33" s="5">
        <v>101.7671</v>
      </c>
      <c r="C33" s="5">
        <v>101.8313</v>
      </c>
      <c r="D33" s="5">
        <v>99.421689999999998</v>
      </c>
      <c r="E33" s="5">
        <v>96.979920000000007</v>
      </c>
      <c r="F33" s="5">
        <v>94.120480000000001</v>
      </c>
      <c r="G33" s="5">
        <v>93.060239999999993</v>
      </c>
      <c r="H33" s="5">
        <v>96.305220000000006</v>
      </c>
      <c r="I33" s="5">
        <v>95.566270000000003</v>
      </c>
      <c r="J33" s="4"/>
      <c r="K33" s="4"/>
      <c r="L33" s="4"/>
      <c r="M33" s="5">
        <v>0.1</v>
      </c>
      <c r="N33" s="5">
        <v>98.714370000000002</v>
      </c>
      <c r="O33" s="5">
        <v>100.38720000000001</v>
      </c>
      <c r="P33" s="5">
        <v>101.37860000000001</v>
      </c>
      <c r="Q33" s="5">
        <v>99.519829999999999</v>
      </c>
      <c r="R33" s="5">
        <v>93.633830000000003</v>
      </c>
      <c r="S33" s="5">
        <v>92.580550000000002</v>
      </c>
      <c r="T33" s="5">
        <v>94.780050000000003</v>
      </c>
      <c r="U33" s="5">
        <v>94.439279999999997</v>
      </c>
    </row>
    <row r="34" spans="1:21" x14ac:dyDescent="0.2">
      <c r="A34" s="5">
        <v>1</v>
      </c>
      <c r="B34" s="5">
        <v>101.06019999999999</v>
      </c>
      <c r="C34" s="5">
        <v>100.5783</v>
      </c>
      <c r="D34" s="5">
        <v>94.377510000000001</v>
      </c>
      <c r="E34" s="5">
        <v>94.538150000000002</v>
      </c>
      <c r="F34" s="5">
        <v>91.261039999999994</v>
      </c>
      <c r="G34" s="5">
        <v>92.899600000000007</v>
      </c>
      <c r="H34" s="5">
        <v>96.112449999999995</v>
      </c>
      <c r="I34" s="5">
        <v>96.112449999999995</v>
      </c>
      <c r="J34" s="4"/>
      <c r="K34" s="4"/>
      <c r="L34" s="4"/>
      <c r="M34" s="5">
        <v>1</v>
      </c>
      <c r="N34" s="5">
        <v>96.019210000000001</v>
      </c>
      <c r="O34" s="5">
        <v>100.5731</v>
      </c>
      <c r="P34" s="5">
        <v>100.72799999999999</v>
      </c>
      <c r="Q34" s="5">
        <v>97.19641</v>
      </c>
      <c r="R34" s="5">
        <v>93.819699999999997</v>
      </c>
      <c r="S34" s="5">
        <v>95.213750000000005</v>
      </c>
      <c r="T34" s="5">
        <v>96.824659999999994</v>
      </c>
      <c r="U34" s="5">
        <v>95.895290000000003</v>
      </c>
    </row>
    <row r="35" spans="1:21" x14ac:dyDescent="0.2">
      <c r="A35" s="5">
        <v>10</v>
      </c>
      <c r="B35" s="5">
        <v>103.40560000000001</v>
      </c>
      <c r="C35" s="5">
        <v>99.871489999999994</v>
      </c>
      <c r="D35" s="5">
        <v>97.044179999999997</v>
      </c>
      <c r="E35" s="5">
        <v>96.883529999999993</v>
      </c>
      <c r="F35" s="5">
        <v>92.738960000000006</v>
      </c>
      <c r="G35" s="5">
        <v>92.224900000000005</v>
      </c>
      <c r="H35" s="5">
        <v>94.763050000000007</v>
      </c>
      <c r="I35" s="5">
        <v>93.445779999999999</v>
      </c>
      <c r="J35" s="4"/>
      <c r="K35" s="4"/>
      <c r="L35" s="4"/>
      <c r="M35" s="5">
        <v>10</v>
      </c>
      <c r="N35" s="5">
        <v>99.302970000000002</v>
      </c>
      <c r="O35" s="5">
        <v>98.001859999999994</v>
      </c>
      <c r="P35" s="5">
        <v>99.148079999999993</v>
      </c>
      <c r="Q35" s="5">
        <v>99.395910000000001</v>
      </c>
      <c r="R35" s="5">
        <v>90.009289999999993</v>
      </c>
      <c r="S35" s="5">
        <v>95.926270000000002</v>
      </c>
      <c r="T35" s="5">
        <v>98.373609999999999</v>
      </c>
      <c r="U35" s="5">
        <v>96.948570000000004</v>
      </c>
    </row>
    <row r="36" spans="1:21" x14ac:dyDescent="0.2">
      <c r="A36" s="5">
        <v>50</v>
      </c>
      <c r="B36" s="5">
        <v>99.293170000000003</v>
      </c>
      <c r="C36" s="5">
        <v>100</v>
      </c>
      <c r="D36" s="5">
        <v>94.184740000000005</v>
      </c>
      <c r="E36" s="5">
        <v>94.730919999999998</v>
      </c>
      <c r="F36" s="5">
        <v>91.453819999999993</v>
      </c>
      <c r="G36" s="5">
        <v>91.485939999999999</v>
      </c>
      <c r="H36" s="5">
        <v>93.831329999999994</v>
      </c>
      <c r="I36" s="5">
        <v>89.847390000000004</v>
      </c>
      <c r="J36" s="4"/>
      <c r="K36" s="4"/>
      <c r="L36" s="4"/>
      <c r="M36" s="5">
        <v>50</v>
      </c>
      <c r="N36" s="5">
        <v>94.532219999999995</v>
      </c>
      <c r="O36" s="5">
        <v>97.78501</v>
      </c>
      <c r="P36" s="5">
        <v>98.559479999999994</v>
      </c>
      <c r="Q36" s="5">
        <v>97.103470000000002</v>
      </c>
      <c r="R36" s="5">
        <v>95.616479999999996</v>
      </c>
      <c r="S36" s="5">
        <v>97.165430000000001</v>
      </c>
      <c r="T36" s="5">
        <v>92.580550000000002</v>
      </c>
      <c r="U36" s="5">
        <v>91.806070000000005</v>
      </c>
    </row>
    <row r="37" spans="1:21" x14ac:dyDescent="0.2">
      <c r="A37" s="5">
        <v>100</v>
      </c>
      <c r="B37" s="5">
        <v>95.405619999999999</v>
      </c>
      <c r="C37" s="5">
        <v>92.674700000000001</v>
      </c>
      <c r="D37" s="5">
        <v>90.618470000000002</v>
      </c>
      <c r="E37" s="5">
        <v>88.690759999999997</v>
      </c>
      <c r="F37" s="5">
        <v>85.638549999999995</v>
      </c>
      <c r="G37" s="5">
        <v>86.4739</v>
      </c>
      <c r="H37" s="5">
        <v>87.855419999999995</v>
      </c>
      <c r="I37" s="5">
        <v>84.835340000000002</v>
      </c>
      <c r="J37" s="4"/>
      <c r="K37" s="4"/>
      <c r="L37" s="4"/>
      <c r="M37" s="5">
        <v>100</v>
      </c>
      <c r="N37" s="5">
        <v>85.331469999999996</v>
      </c>
      <c r="O37" s="5">
        <v>89.17286</v>
      </c>
      <c r="P37" s="5">
        <v>92.487610000000004</v>
      </c>
      <c r="Q37" s="5">
        <v>91.093559999999997</v>
      </c>
      <c r="R37" s="5">
        <v>81.490089999999995</v>
      </c>
      <c r="S37" s="5">
        <v>81.242260000000002</v>
      </c>
      <c r="T37" s="5">
        <v>83.844489999999993</v>
      </c>
      <c r="U37" s="5">
        <v>81.211280000000002</v>
      </c>
    </row>
    <row r="38" spans="1:21" x14ac:dyDescent="0.2">
      <c r="A38" s="5">
        <v>200</v>
      </c>
      <c r="B38" s="5">
        <v>78.987949999999998</v>
      </c>
      <c r="C38" s="5">
        <v>72.401610000000005</v>
      </c>
      <c r="D38" s="5">
        <v>73.012050000000002</v>
      </c>
      <c r="E38" s="5">
        <v>70.891570000000002</v>
      </c>
      <c r="F38" s="5">
        <v>75.775099999999995</v>
      </c>
      <c r="G38" s="5">
        <v>78.441770000000005</v>
      </c>
      <c r="H38" s="5">
        <v>76.449799999999996</v>
      </c>
      <c r="I38" s="5">
        <v>69.413650000000004</v>
      </c>
      <c r="J38" s="4"/>
      <c r="K38" s="4"/>
      <c r="L38" s="4"/>
      <c r="M38" s="5">
        <v>200</v>
      </c>
      <c r="N38" s="5">
        <v>59.278190000000002</v>
      </c>
      <c r="O38" s="5">
        <v>61.291820000000001</v>
      </c>
      <c r="P38" s="5">
        <v>63.708179999999999</v>
      </c>
      <c r="Q38" s="5">
        <v>65.721810000000005</v>
      </c>
      <c r="R38" s="5">
        <v>63.986989999999999</v>
      </c>
      <c r="S38" s="5">
        <v>65.566909999999993</v>
      </c>
      <c r="T38" s="5">
        <v>63.677199999999999</v>
      </c>
      <c r="U38" s="5">
        <v>62.5</v>
      </c>
    </row>
    <row r="39" spans="1:21" x14ac:dyDescent="0.2">
      <c r="A39" s="5">
        <v>500</v>
      </c>
      <c r="B39" s="5">
        <v>71.180719999999994</v>
      </c>
      <c r="C39" s="5">
        <v>62.506019999999999</v>
      </c>
      <c r="D39" s="5">
        <v>59.550199999999997</v>
      </c>
      <c r="E39" s="5">
        <v>56.947789999999998</v>
      </c>
      <c r="F39" s="5">
        <v>60.867469999999997</v>
      </c>
      <c r="G39" s="5">
        <v>61.028109999999998</v>
      </c>
      <c r="H39" s="5">
        <v>65.140559999999994</v>
      </c>
      <c r="I39" s="5">
        <v>62.634540000000001</v>
      </c>
      <c r="J39" s="4"/>
      <c r="K39" s="4"/>
      <c r="L39" s="4"/>
      <c r="M39" s="5">
        <v>500</v>
      </c>
      <c r="N39" s="5">
        <v>49.674720000000001</v>
      </c>
      <c r="O39" s="5">
        <v>44.687109999999997</v>
      </c>
      <c r="P39" s="5">
        <v>42.394669999999998</v>
      </c>
      <c r="Q39" s="5">
        <v>45.802349999999997</v>
      </c>
      <c r="R39" s="5">
        <v>52.24597</v>
      </c>
      <c r="S39" s="5">
        <v>49.210039999999999</v>
      </c>
      <c r="T39" s="5">
        <v>47.75403</v>
      </c>
      <c r="U39" s="5">
        <v>49.98451</v>
      </c>
    </row>
    <row r="41" spans="1:21" x14ac:dyDescent="0.2">
      <c r="A41" s="3" t="s">
        <v>433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21" x14ac:dyDescent="0.2">
      <c r="A42" s="11"/>
      <c r="B42" s="53" t="s">
        <v>7</v>
      </c>
      <c r="C42" s="53"/>
      <c r="D42" s="53"/>
      <c r="E42" s="53" t="s">
        <v>91</v>
      </c>
      <c r="F42" s="53"/>
      <c r="G42" s="53"/>
      <c r="H42" s="53" t="s">
        <v>60</v>
      </c>
      <c r="I42" s="53"/>
      <c r="J42" s="53"/>
      <c r="K42" s="53" t="s">
        <v>92</v>
      </c>
      <c r="L42" s="53"/>
      <c r="M42" s="53"/>
      <c r="N42" s="53" t="s">
        <v>33</v>
      </c>
      <c r="O42" s="53"/>
      <c r="P42" s="53"/>
    </row>
    <row r="43" spans="1:21" x14ac:dyDescent="0.2">
      <c r="A43" s="8" t="s">
        <v>25</v>
      </c>
      <c r="B43" s="5">
        <v>2</v>
      </c>
      <c r="C43" s="5">
        <v>2.71</v>
      </c>
      <c r="D43" s="5">
        <v>1.43</v>
      </c>
      <c r="E43" s="5">
        <v>2.69</v>
      </c>
      <c r="F43" s="5">
        <v>3.52</v>
      </c>
      <c r="G43" s="5">
        <v>3.87</v>
      </c>
      <c r="H43" s="5">
        <v>7.39</v>
      </c>
      <c r="I43" s="5">
        <v>7.83</v>
      </c>
      <c r="J43" s="5">
        <v>8.34</v>
      </c>
      <c r="K43" s="5">
        <v>14.6</v>
      </c>
      <c r="L43" s="5">
        <v>12.6</v>
      </c>
      <c r="M43" s="5">
        <v>25.8</v>
      </c>
      <c r="N43" s="5">
        <v>65.2</v>
      </c>
      <c r="O43" s="5">
        <v>63.7</v>
      </c>
      <c r="P43" s="5">
        <v>69.099999999999994</v>
      </c>
    </row>
    <row r="44" spans="1:21" x14ac:dyDescent="0.2">
      <c r="E44">
        <f>_xlfn.T.TEST(B43:D43,E43:G43,2,2)</f>
        <v>6.145164784438046E-2</v>
      </c>
      <c r="H44">
        <f>_xlfn.T.TEST(B43:D43,H43:J43,2,2)</f>
        <v>2.2846498704313307E-4</v>
      </c>
      <c r="K44">
        <f>_xlfn.T.TEST(H43:J43,K43:M43,2,2)</f>
        <v>7.567261214959202E-2</v>
      </c>
      <c r="N44">
        <f>_xlfn.T.TEST(B43:D43,N43:P43,2,2)</f>
        <v>2.6556176429308378E-6</v>
      </c>
    </row>
    <row r="45" spans="1:21" x14ac:dyDescent="0.2">
      <c r="A45" s="3" t="s">
        <v>434</v>
      </c>
      <c r="B45" s="4"/>
      <c r="C45" s="4"/>
      <c r="D45" s="4"/>
    </row>
    <row r="46" spans="1:21" x14ac:dyDescent="0.2">
      <c r="A46" s="11"/>
      <c r="B46" s="53" t="s">
        <v>7</v>
      </c>
      <c r="C46" s="53"/>
      <c r="D46" s="53"/>
    </row>
    <row r="47" spans="1:21" x14ac:dyDescent="0.2">
      <c r="A47" s="8" t="s">
        <v>25</v>
      </c>
      <c r="B47" s="5">
        <v>4.0999999999999996</v>
      </c>
      <c r="C47" s="5">
        <v>2.7</v>
      </c>
      <c r="D47" s="5">
        <v>3.6</v>
      </c>
    </row>
    <row r="48" spans="1:21" x14ac:dyDescent="0.2">
      <c r="A48" s="8" t="s">
        <v>91</v>
      </c>
      <c r="B48" s="5">
        <v>3</v>
      </c>
      <c r="C48" s="5">
        <v>2.1</v>
      </c>
      <c r="D48" s="5">
        <v>3.6</v>
      </c>
    </row>
    <row r="49" spans="1:13" x14ac:dyDescent="0.2">
      <c r="A49" s="8" t="s">
        <v>60</v>
      </c>
      <c r="B49" s="5">
        <v>2.5</v>
      </c>
      <c r="C49" s="5">
        <v>4</v>
      </c>
      <c r="D49" s="5">
        <v>3.4</v>
      </c>
    </row>
    <row r="50" spans="1:13" x14ac:dyDescent="0.2">
      <c r="A50" s="8" t="s">
        <v>92</v>
      </c>
      <c r="B50" s="5">
        <v>2.2000000000000002</v>
      </c>
      <c r="C50" s="5">
        <v>2.8</v>
      </c>
      <c r="D50" s="5">
        <v>4</v>
      </c>
    </row>
    <row r="51" spans="1:13" x14ac:dyDescent="0.2">
      <c r="A51" s="8" t="s">
        <v>33</v>
      </c>
      <c r="B51" s="5">
        <v>48.2</v>
      </c>
      <c r="C51" s="5">
        <v>53.1</v>
      </c>
      <c r="D51" s="5">
        <v>43.4</v>
      </c>
      <c r="E51">
        <f>_xlfn.T.TEST(B47:D47,B51:D51,2,2)</f>
        <v>9.3324112520874281E-5</v>
      </c>
    </row>
    <row r="52" spans="1:13" x14ac:dyDescent="0.2">
      <c r="A52" s="2"/>
      <c r="B52" s="1"/>
      <c r="C52" s="1"/>
      <c r="D52" s="1"/>
    </row>
    <row r="53" spans="1:13" x14ac:dyDescent="0.2">
      <c r="A53" s="12" t="s">
        <v>435</v>
      </c>
      <c r="B53" s="4"/>
      <c r="C53" s="4"/>
      <c r="D53" s="4"/>
      <c r="E53" s="4"/>
      <c r="F53" s="4"/>
      <c r="G53" s="4"/>
      <c r="H53" s="4"/>
      <c r="I53" s="4"/>
      <c r="J53" s="4"/>
    </row>
    <row r="54" spans="1:13" x14ac:dyDescent="0.2">
      <c r="A54" s="66" t="s">
        <v>25</v>
      </c>
      <c r="B54" s="66"/>
      <c r="C54" s="66"/>
      <c r="D54" s="58" t="s">
        <v>60</v>
      </c>
      <c r="E54" s="58"/>
      <c r="F54" s="58"/>
      <c r="G54" s="58"/>
      <c r="H54" s="58"/>
      <c r="I54" s="58"/>
      <c r="J54" s="58"/>
    </row>
    <row r="55" spans="1:13" x14ac:dyDescent="0.2">
      <c r="A55" s="11" t="s">
        <v>35</v>
      </c>
      <c r="B55" s="11" t="s">
        <v>33</v>
      </c>
      <c r="C55" s="11" t="s">
        <v>32</v>
      </c>
      <c r="D55" s="11" t="s">
        <v>35</v>
      </c>
      <c r="E55" s="11" t="s">
        <v>33</v>
      </c>
      <c r="F55" s="11" t="s">
        <v>83</v>
      </c>
      <c r="G55" s="11" t="s">
        <v>84</v>
      </c>
      <c r="H55" s="11" t="s">
        <v>32</v>
      </c>
      <c r="I55" s="11" t="s">
        <v>85</v>
      </c>
      <c r="J55" s="11" t="s">
        <v>86</v>
      </c>
    </row>
    <row r="56" spans="1:13" x14ac:dyDescent="0.2">
      <c r="A56" s="5">
        <v>99.812399999999997</v>
      </c>
      <c r="B56" s="5">
        <v>109.02</v>
      </c>
      <c r="C56" s="5">
        <v>111.31100000000001</v>
      </c>
      <c r="D56" s="5">
        <v>61.254440000000002</v>
      </c>
      <c r="E56" s="5">
        <v>13.891310000000001</v>
      </c>
      <c r="F56" s="5">
        <v>56.349260000000001</v>
      </c>
      <c r="G56" s="5">
        <v>56.228639999999999</v>
      </c>
      <c r="H56" s="5">
        <v>12.484080000000001</v>
      </c>
      <c r="I56" s="5">
        <v>58.037930000000003</v>
      </c>
      <c r="J56" s="5">
        <v>57.434829999999998</v>
      </c>
    </row>
    <row r="57" spans="1:13" x14ac:dyDescent="0.2">
      <c r="A57" s="5">
        <v>101.3</v>
      </c>
      <c r="B57" s="5">
        <v>99.048400000000001</v>
      </c>
      <c r="C57" s="5">
        <v>102.22499999999999</v>
      </c>
      <c r="D57" s="5">
        <v>59.083289999999998</v>
      </c>
      <c r="E57" s="5">
        <v>14.534610000000001</v>
      </c>
      <c r="F57" s="5">
        <v>57.877099999999999</v>
      </c>
      <c r="G57" s="5">
        <v>57.032769999999999</v>
      </c>
      <c r="H57" s="5">
        <v>13.006769999999999</v>
      </c>
      <c r="I57" s="5">
        <v>60.048250000000003</v>
      </c>
      <c r="J57" s="5">
        <v>56.590499999999999</v>
      </c>
    </row>
    <row r="58" spans="1:13" x14ac:dyDescent="0.2">
      <c r="A58" s="5">
        <v>98.887619999999998</v>
      </c>
      <c r="B58" s="5">
        <v>96.394829999999999</v>
      </c>
      <c r="C58" s="5">
        <v>94.223680000000002</v>
      </c>
      <c r="D58" s="5">
        <v>58.882260000000002</v>
      </c>
      <c r="E58" s="5">
        <v>14.4542</v>
      </c>
      <c r="F58" s="5">
        <v>58.359580000000001</v>
      </c>
      <c r="G58" s="5">
        <v>57.756480000000003</v>
      </c>
      <c r="H58" s="5">
        <v>13.248010000000001</v>
      </c>
      <c r="I58" s="5">
        <v>61.214230000000001</v>
      </c>
      <c r="J58" s="5">
        <v>55.424509999999998</v>
      </c>
    </row>
    <row r="59" spans="1:13" x14ac:dyDescent="0.2">
      <c r="E59">
        <f>_xlfn.T.TEST(D56:D58,E56:E58,2,2)</f>
        <v>5.3560117791178791E-7</v>
      </c>
      <c r="H59">
        <f>_xlfn.T.TEST(D56:D58,H56:H58,2,2)</f>
        <v>4.9054800899474224E-7</v>
      </c>
    </row>
    <row r="62" spans="1:13" x14ac:dyDescent="0.2">
      <c r="A62" s="3" t="s">
        <v>436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">
      <c r="A63" s="11" t="s">
        <v>33</v>
      </c>
      <c r="B63" s="53" t="s">
        <v>22</v>
      </c>
      <c r="C63" s="53"/>
      <c r="D63" s="53"/>
      <c r="E63" s="53"/>
      <c r="F63" s="53" t="s">
        <v>75</v>
      </c>
      <c r="G63" s="53"/>
      <c r="H63" s="53"/>
      <c r="I63" s="53"/>
      <c r="J63" s="53" t="s">
        <v>76</v>
      </c>
      <c r="K63" s="53"/>
      <c r="L63" s="53"/>
      <c r="M63" s="53"/>
    </row>
    <row r="64" spans="1:13" x14ac:dyDescent="0.2">
      <c r="A64" s="5">
        <v>1</v>
      </c>
      <c r="B64" s="5">
        <v>105.97199999999999</v>
      </c>
      <c r="C64" s="5">
        <v>101.80500000000001</v>
      </c>
      <c r="D64" s="5">
        <v>96.297669999999997</v>
      </c>
      <c r="E64" s="5">
        <v>95.925600000000003</v>
      </c>
      <c r="F64" s="5">
        <v>99.85745</v>
      </c>
      <c r="G64" s="5">
        <v>101.639</v>
      </c>
      <c r="H64" s="5">
        <v>100.1426</v>
      </c>
      <c r="I64" s="5">
        <v>98.360699999999994</v>
      </c>
      <c r="J64" s="5">
        <v>98.459479999999999</v>
      </c>
      <c r="K64" s="5">
        <v>99.464200000000005</v>
      </c>
      <c r="L64" s="5">
        <v>102.009</v>
      </c>
      <c r="M64" s="5">
        <v>100.06699999999999</v>
      </c>
    </row>
    <row r="65" spans="1:21" x14ac:dyDescent="0.2">
      <c r="A65" s="5">
        <v>10</v>
      </c>
      <c r="B65" s="5">
        <v>103.07</v>
      </c>
      <c r="C65" s="5">
        <v>94.065100000000001</v>
      </c>
      <c r="D65" s="5">
        <v>92.055809999999994</v>
      </c>
      <c r="E65" s="5">
        <v>91.534899999999993</v>
      </c>
      <c r="F65" s="5">
        <v>92.801140000000004</v>
      </c>
      <c r="G65" s="5">
        <v>94.939400000000006</v>
      </c>
      <c r="H65" s="5">
        <v>95.010689999999997</v>
      </c>
      <c r="I65" s="5">
        <v>97.077699999999993</v>
      </c>
      <c r="J65" s="5">
        <v>92.431349999999995</v>
      </c>
      <c r="K65" s="5">
        <v>96.517099999999999</v>
      </c>
      <c r="L65" s="5">
        <v>98.057599999999994</v>
      </c>
      <c r="M65" s="5">
        <v>98.660420000000002</v>
      </c>
    </row>
    <row r="66" spans="1:21" x14ac:dyDescent="0.2">
      <c r="A66" s="5">
        <v>100</v>
      </c>
      <c r="B66" s="5">
        <v>103.81399999999999</v>
      </c>
      <c r="C66" s="5">
        <v>94.288399999999996</v>
      </c>
      <c r="D66" s="5">
        <v>88.334879999999998</v>
      </c>
      <c r="E66" s="5">
        <v>87.739500000000007</v>
      </c>
      <c r="F66" s="5">
        <v>93.941550000000007</v>
      </c>
      <c r="G66" s="5">
        <v>93.8703</v>
      </c>
      <c r="H66" s="5">
        <v>95.295789999999997</v>
      </c>
      <c r="I66" s="5">
        <v>96.364900000000006</v>
      </c>
      <c r="J66" s="5">
        <v>92.029470000000003</v>
      </c>
      <c r="K66" s="5">
        <v>94.373699999999999</v>
      </c>
      <c r="L66" s="5">
        <v>98.392499999999998</v>
      </c>
      <c r="M66" s="5">
        <v>96.249160000000003</v>
      </c>
    </row>
    <row r="67" spans="1:21" x14ac:dyDescent="0.2">
      <c r="A67" s="5">
        <v>200</v>
      </c>
      <c r="B67" s="5">
        <v>87.367400000000004</v>
      </c>
      <c r="C67" s="5">
        <v>90.492999999999995</v>
      </c>
      <c r="D67" s="5">
        <v>86.772090000000006</v>
      </c>
      <c r="E67" s="5">
        <v>85.730199999999996</v>
      </c>
      <c r="F67" s="5">
        <v>91.304349999999999</v>
      </c>
      <c r="G67" s="5">
        <v>91.660700000000006</v>
      </c>
      <c r="H67" s="5">
        <v>91.161799999999999</v>
      </c>
      <c r="I67" s="5">
        <v>93.3001</v>
      </c>
      <c r="J67" s="5">
        <v>90.28801</v>
      </c>
      <c r="K67" s="5">
        <v>93.034199999999998</v>
      </c>
      <c r="L67" s="5">
        <v>95.5124</v>
      </c>
      <c r="M67" s="5">
        <v>92.833219999999997</v>
      </c>
    </row>
    <row r="68" spans="1:21" x14ac:dyDescent="0.2">
      <c r="A68" s="5">
        <v>300</v>
      </c>
      <c r="B68" s="5">
        <v>77.1721</v>
      </c>
      <c r="C68" s="5">
        <v>80</v>
      </c>
      <c r="D68" s="5">
        <v>78.139529999999993</v>
      </c>
      <c r="E68" s="5">
        <v>77.469800000000006</v>
      </c>
      <c r="F68" s="5">
        <v>82.965069999999997</v>
      </c>
      <c r="G68" s="5">
        <v>81.753399999999999</v>
      </c>
      <c r="H68" s="5">
        <v>81.610830000000007</v>
      </c>
      <c r="I68" s="5">
        <v>76.478999999999999</v>
      </c>
      <c r="J68" s="5">
        <v>78.901539999999997</v>
      </c>
      <c r="K68" s="5">
        <v>76.289400000000001</v>
      </c>
      <c r="L68" s="5">
        <v>79.370400000000004</v>
      </c>
      <c r="M68" s="5">
        <v>71.734759999999994</v>
      </c>
    </row>
    <row r="69" spans="1:21" x14ac:dyDescent="0.2">
      <c r="A69" s="5">
        <v>500</v>
      </c>
      <c r="B69" s="5">
        <v>58.6419</v>
      </c>
      <c r="C69" s="5">
        <v>65.488399999999999</v>
      </c>
      <c r="D69" s="5">
        <v>63.776739999999997</v>
      </c>
      <c r="E69" s="5">
        <v>62.213999999999999</v>
      </c>
      <c r="F69" s="5">
        <v>74.483249999999998</v>
      </c>
      <c r="G69" s="5">
        <v>73.556700000000006</v>
      </c>
      <c r="H69" s="5">
        <v>71.846040000000002</v>
      </c>
      <c r="I69" s="5">
        <v>66.999300000000005</v>
      </c>
      <c r="J69" s="5">
        <v>65.572670000000002</v>
      </c>
      <c r="K69" s="5">
        <v>63.697299999999998</v>
      </c>
      <c r="L69" s="5">
        <v>62.893500000000003</v>
      </c>
      <c r="M69" s="5">
        <v>60.817149999999998</v>
      </c>
    </row>
    <row r="70" spans="1:21" x14ac:dyDescent="0.2">
      <c r="A70" s="5">
        <v>800</v>
      </c>
      <c r="B70" s="5">
        <v>54.4</v>
      </c>
      <c r="C70" s="5">
        <v>54.176699999999997</v>
      </c>
      <c r="D70" s="5">
        <v>51.944189999999999</v>
      </c>
      <c r="E70" s="5">
        <v>48.297699999999999</v>
      </c>
      <c r="F70" s="5">
        <v>58.018529999999998</v>
      </c>
      <c r="G70" s="5">
        <v>56.450499999999998</v>
      </c>
      <c r="H70" s="5">
        <v>58.08981</v>
      </c>
      <c r="I70" s="5">
        <v>55.238799999999998</v>
      </c>
      <c r="J70" s="5">
        <v>47.421300000000002</v>
      </c>
      <c r="K70" s="5">
        <v>47.622199999999999</v>
      </c>
      <c r="L70" s="5">
        <v>51.440100000000001</v>
      </c>
      <c r="M70" s="5">
        <v>45.813800000000001</v>
      </c>
    </row>
    <row r="75" spans="1:21" x14ac:dyDescent="0.2">
      <c r="A75" s="3" t="s">
        <v>437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2">
      <c r="A76" s="11"/>
      <c r="B76" s="53" t="s">
        <v>25</v>
      </c>
      <c r="C76" s="53"/>
      <c r="D76" s="53"/>
      <c r="E76" s="53"/>
      <c r="F76" s="53"/>
      <c r="G76" s="53" t="s">
        <v>66</v>
      </c>
      <c r="H76" s="53"/>
      <c r="I76" s="53"/>
      <c r="J76" s="53"/>
      <c r="K76" s="53"/>
      <c r="L76" s="53" t="s">
        <v>72</v>
      </c>
      <c r="M76" s="53"/>
      <c r="N76" s="53"/>
      <c r="O76" s="53"/>
      <c r="P76" s="53"/>
      <c r="Q76" s="53" t="s">
        <v>73</v>
      </c>
      <c r="R76" s="53"/>
      <c r="S76" s="53"/>
      <c r="T76" s="53"/>
      <c r="U76" s="53"/>
    </row>
    <row r="77" spans="1:21" x14ac:dyDescent="0.2">
      <c r="A77" s="8">
        <v>42</v>
      </c>
      <c r="B77" s="5">
        <v>22.7</v>
      </c>
      <c r="C77" s="5">
        <v>26</v>
      </c>
      <c r="D77" s="5">
        <v>22.8</v>
      </c>
      <c r="E77" s="5">
        <v>25.4</v>
      </c>
      <c r="F77" s="5">
        <v>23.5</v>
      </c>
      <c r="G77" s="5">
        <v>23.5</v>
      </c>
      <c r="H77" s="5">
        <v>21.2</v>
      </c>
      <c r="I77" s="5">
        <v>22</v>
      </c>
      <c r="J77" s="5">
        <v>23.8</v>
      </c>
      <c r="K77" s="5">
        <v>22</v>
      </c>
      <c r="L77" s="5">
        <v>24.3</v>
      </c>
      <c r="M77" s="5">
        <v>20.399999999999999</v>
      </c>
      <c r="N77" s="5">
        <v>24</v>
      </c>
      <c r="O77" s="5">
        <v>22.6</v>
      </c>
      <c r="P77" s="5">
        <v>21.7</v>
      </c>
      <c r="Q77" s="5">
        <v>21.8</v>
      </c>
      <c r="R77" s="5">
        <v>21</v>
      </c>
      <c r="S77" s="5">
        <v>24</v>
      </c>
      <c r="T77" s="5">
        <v>26.5</v>
      </c>
      <c r="U77" s="5">
        <v>22.9</v>
      </c>
    </row>
    <row r="78" spans="1:21" x14ac:dyDescent="0.2">
      <c r="A78" s="8">
        <v>45</v>
      </c>
      <c r="B78" s="5">
        <v>27.3</v>
      </c>
      <c r="C78" s="5">
        <v>23</v>
      </c>
      <c r="D78" s="5">
        <v>23.5</v>
      </c>
      <c r="E78" s="5">
        <v>22.6</v>
      </c>
      <c r="F78" s="5">
        <v>22.7</v>
      </c>
      <c r="G78" s="5">
        <v>22</v>
      </c>
      <c r="H78" s="5">
        <v>24</v>
      </c>
      <c r="I78" s="5">
        <v>21.6</v>
      </c>
      <c r="J78" s="5">
        <v>23.4</v>
      </c>
      <c r="K78" s="5">
        <v>23</v>
      </c>
      <c r="L78" s="5">
        <v>22.7</v>
      </c>
      <c r="M78" s="5">
        <v>24.4</v>
      </c>
      <c r="N78" s="5">
        <v>24.8</v>
      </c>
      <c r="O78" s="5">
        <v>19.600000000000001</v>
      </c>
      <c r="P78" s="5">
        <v>21</v>
      </c>
      <c r="Q78" s="5">
        <v>24.7</v>
      </c>
      <c r="R78" s="5">
        <v>20</v>
      </c>
      <c r="S78" s="5">
        <v>21.4</v>
      </c>
      <c r="T78" s="5">
        <v>19</v>
      </c>
      <c r="U78" s="5">
        <v>23.3</v>
      </c>
    </row>
    <row r="79" spans="1:21" x14ac:dyDescent="0.2">
      <c r="A79" s="8">
        <v>48</v>
      </c>
      <c r="B79" s="5">
        <v>26</v>
      </c>
      <c r="C79" s="5">
        <v>24.3</v>
      </c>
      <c r="D79" s="5">
        <v>23.3</v>
      </c>
      <c r="E79" s="5">
        <v>22.4</v>
      </c>
      <c r="F79" s="5">
        <v>24.8</v>
      </c>
      <c r="G79" s="5">
        <v>22.9</v>
      </c>
      <c r="H79" s="5">
        <v>24</v>
      </c>
      <c r="I79" s="5">
        <v>22.8</v>
      </c>
      <c r="J79" s="5">
        <v>25</v>
      </c>
      <c r="K79" s="5">
        <v>22.5</v>
      </c>
      <c r="L79" s="5">
        <v>26</v>
      </c>
      <c r="M79" s="5">
        <v>25</v>
      </c>
      <c r="N79" s="5">
        <v>20</v>
      </c>
      <c r="O79" s="5">
        <v>22</v>
      </c>
      <c r="P79" s="5">
        <v>21.5</v>
      </c>
      <c r="Q79" s="5">
        <v>23.5</v>
      </c>
      <c r="R79" s="5">
        <v>22</v>
      </c>
      <c r="S79" s="5">
        <v>21</v>
      </c>
      <c r="T79" s="5">
        <v>20</v>
      </c>
      <c r="U79" s="5">
        <v>19.399999999999999</v>
      </c>
    </row>
    <row r="80" spans="1:21" x14ac:dyDescent="0.2">
      <c r="A80" s="8">
        <v>50</v>
      </c>
      <c r="B80" s="5">
        <v>24.4</v>
      </c>
      <c r="C80" s="5">
        <v>26.8</v>
      </c>
      <c r="D80" s="5">
        <v>22</v>
      </c>
      <c r="E80" s="5">
        <v>24</v>
      </c>
      <c r="F80" s="5">
        <v>24</v>
      </c>
      <c r="G80" s="5">
        <v>25.8</v>
      </c>
      <c r="H80" s="5">
        <v>23.7</v>
      </c>
      <c r="I80" s="5">
        <v>24.2</v>
      </c>
      <c r="J80" s="5">
        <v>22.6</v>
      </c>
      <c r="K80" s="5">
        <v>24.1</v>
      </c>
      <c r="L80" s="5">
        <v>26.5</v>
      </c>
      <c r="M80" s="5">
        <v>22.6</v>
      </c>
      <c r="N80" s="5">
        <v>20.2</v>
      </c>
      <c r="O80" s="5">
        <v>24.8</v>
      </c>
      <c r="P80" s="5">
        <v>21</v>
      </c>
      <c r="Q80" s="5">
        <v>20.399999999999999</v>
      </c>
      <c r="R80" s="5">
        <v>19</v>
      </c>
      <c r="S80" s="5">
        <v>23.4</v>
      </c>
      <c r="T80" s="5">
        <v>20</v>
      </c>
      <c r="U80" s="5">
        <v>23.7</v>
      </c>
    </row>
    <row r="81" spans="1:21" x14ac:dyDescent="0.2">
      <c r="A81" s="8">
        <v>53</v>
      </c>
      <c r="B81" s="5">
        <v>25</v>
      </c>
      <c r="C81" s="5">
        <v>27.2</v>
      </c>
      <c r="D81" s="5">
        <v>24.9</v>
      </c>
      <c r="E81" s="5">
        <v>23.8</v>
      </c>
      <c r="F81" s="5">
        <v>23.2</v>
      </c>
      <c r="G81" s="5">
        <v>22.7</v>
      </c>
      <c r="H81" s="5">
        <v>23.4</v>
      </c>
      <c r="I81" s="5">
        <v>22.6</v>
      </c>
      <c r="J81" s="5">
        <v>25</v>
      </c>
      <c r="K81" s="5">
        <v>22</v>
      </c>
      <c r="L81" s="5">
        <v>20.7</v>
      </c>
      <c r="M81" s="5">
        <v>26.5</v>
      </c>
      <c r="N81" s="5">
        <v>24.2</v>
      </c>
      <c r="O81" s="5">
        <v>23.6</v>
      </c>
      <c r="P81" s="5">
        <v>20.6</v>
      </c>
      <c r="Q81" s="5">
        <v>22.7</v>
      </c>
      <c r="R81" s="5">
        <v>20</v>
      </c>
      <c r="S81" s="5">
        <v>22.3</v>
      </c>
      <c r="T81" s="5">
        <v>20.8</v>
      </c>
      <c r="U81" s="5">
        <v>23.3</v>
      </c>
    </row>
    <row r="82" spans="1:21" x14ac:dyDescent="0.2">
      <c r="A82" s="8">
        <v>56</v>
      </c>
      <c r="B82" s="5">
        <v>25.7</v>
      </c>
      <c r="C82" s="5">
        <v>24.7</v>
      </c>
      <c r="D82" s="5">
        <v>27.2</v>
      </c>
      <c r="E82" s="5">
        <v>23.2</v>
      </c>
      <c r="F82" s="5">
        <v>23.7</v>
      </c>
      <c r="G82" s="5">
        <v>23</v>
      </c>
      <c r="H82" s="5">
        <v>22.8</v>
      </c>
      <c r="I82" s="5">
        <v>25.6</v>
      </c>
      <c r="J82" s="5">
        <v>23.9</v>
      </c>
      <c r="K82" s="5">
        <v>21</v>
      </c>
      <c r="L82" s="5">
        <v>23.8</v>
      </c>
      <c r="M82" s="5">
        <v>24.3</v>
      </c>
      <c r="N82" s="5">
        <v>18.899999999999999</v>
      </c>
      <c r="O82" s="5">
        <v>26.2</v>
      </c>
      <c r="P82" s="5">
        <v>21.3</v>
      </c>
      <c r="Q82" s="5">
        <v>24.9</v>
      </c>
      <c r="R82" s="5">
        <v>21</v>
      </c>
      <c r="S82" s="5">
        <v>22.6</v>
      </c>
      <c r="T82" s="5">
        <v>19.8</v>
      </c>
      <c r="U82" s="5">
        <v>22</v>
      </c>
    </row>
  </sheetData>
  <mergeCells count="29">
    <mergeCell ref="L76:P76"/>
    <mergeCell ref="Q76:U76"/>
    <mergeCell ref="B76:F76"/>
    <mergeCell ref="G76:K76"/>
    <mergeCell ref="N42:P42"/>
    <mergeCell ref="B46:D46"/>
    <mergeCell ref="B42:D42"/>
    <mergeCell ref="E42:G42"/>
    <mergeCell ref="H42:J42"/>
    <mergeCell ref="B63:E63"/>
    <mergeCell ref="F63:I63"/>
    <mergeCell ref="J63:M63"/>
    <mergeCell ref="D54:J54"/>
    <mergeCell ref="A54:C54"/>
    <mergeCell ref="K42:M42"/>
    <mergeCell ref="K21:M21"/>
    <mergeCell ref="B32:E32"/>
    <mergeCell ref="F32:I32"/>
    <mergeCell ref="R32:U32"/>
    <mergeCell ref="B2:D2"/>
    <mergeCell ref="E2:G2"/>
    <mergeCell ref="J2:L2"/>
    <mergeCell ref="M2:O2"/>
    <mergeCell ref="B14:D14"/>
    <mergeCell ref="E14:G14"/>
    <mergeCell ref="N21:P21"/>
    <mergeCell ref="N32:Q32"/>
    <mergeCell ref="B21:D21"/>
    <mergeCell ref="E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FIg.1</vt:lpstr>
      <vt:lpstr>Fig.2</vt:lpstr>
      <vt:lpstr>Fig.3</vt:lpstr>
      <vt:lpstr>Fig.4</vt:lpstr>
      <vt:lpstr>Fig. S1</vt:lpstr>
      <vt:lpstr>Fig. S2</vt:lpstr>
      <vt:lpstr>Fig.S3</vt:lpstr>
      <vt:lpstr>Fig.S4</vt:lpstr>
      <vt:lpstr>Fig. S5</vt:lpstr>
      <vt:lpstr>Fig.S6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2021-01-30T09:43:02Z</dcterms:modified>
</cp:coreProperties>
</file>